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rief_Canvas" sheetId="2" state="visible" r:id="rId4"/>
    <sheet name="Dim_Factory" sheetId="3" state="visible" r:id="rId5"/>
    <sheet name="Dim_Stream" sheetId="4" state="visible" r:id="rId6"/>
    <sheet name="Fact" sheetId="5" state="visible" r:id="rId7"/>
    <sheet name="Monthly" sheetId="6" state="visible" r:id="rId8"/>
    <sheet name="Revenue" sheetId="7" state="visible" r:id="rId9"/>
  </sheets>
  <definedNames>
    <definedName function="false" hidden="true" localSheetId="4" name="_xlnm._FilterDatabase" vbProcedure="false">Fact!$A$3:$L$135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<sst xmlns="http://schemas.openxmlformats.org/spreadsheetml/2006/main" count="597" uniqueCount="162">
  <si>
    <t xml:space="preserve">ExerLink · ข้อมูลสำหรับ Dashboard เชิงเล่าเรื่อง (รายวิชา Business Idea Creation)</t>
  </si>
  <si>
    <t xml:space="preserve">ข้อมูลจำลองเพื่อการออกแบบ ยังไม่ใช่ข้อมูลจริงของโรงงานหรือนิคมฯ ใด</t>
  </si>
  <si>
    <t xml:space="preserve">โครงสร้างข้อมูลทำตาม Dashboard Brief Canvas (ดูชีต Brief_Canvas)</t>
  </si>
  <si>
    <t xml:space="preserve">Fact = ตารางหลัก 1 แถว = โรงงาน × ชนิดของเสีย × เดือน (Grain)</t>
  </si>
  <si>
    <t xml:space="preserve">Dim_Factory / Dim_Stream = มิติสำหรับตัดมุมมอง (Dimension)</t>
  </si>
  <si>
    <t xml:space="preserve">Monthly = สรุป KPI รายเดือน คำนวณด้วยสูตร SUMIFS จาก Fact (Metric)</t>
  </si>
  <si>
    <t xml:space="preserve">Revenue = รายได้ ExerLink รายไตรมาส</t>
  </si>
  <si>
    <t xml:space="preserve">ตัวเลขสีน้ำเงิน = ค่าป้อน · สีดำ = สูตร · สีเขียว = ดึงจากชีตอื่น</t>
  </si>
  <si>
    <t xml:space="preserve">แหล่งข้อมูลจริงที่จะใช้แทน: ทะเบียนโรงงาน DIW, gdcatalog, ค่า EF ของ TGO, ใบรับของเสีย/ใบแจ้งหนี้ผู้รับกำจัด</t>
  </si>
  <si>
    <t xml:space="preserve">Dashboard Brief Canvas → ข้อมูลที่ใช้</t>
  </si>
  <si>
    <t xml:space="preserve">ช่อง</t>
  </si>
  <si>
    <t xml:space="preserve">คำตอบ</t>
  </si>
  <si>
    <t xml:space="preserve">อยู่ในข้อมูลตรงไหน</t>
  </si>
  <si>
    <t xml:space="preserve">1. User</t>
  </si>
  <si>
    <t xml:space="preserve">ผู้จัดการโครงการ ExerLink ประจำนิคมฯ และวิศวกรในทีม</t>
  </si>
  <si>
    <t xml:space="preserve">—</t>
  </si>
  <si>
    <t xml:space="preserve">2. Decision</t>
  </si>
  <si>
    <t xml:space="preserve">เดือนนี้ส่งวิศวกรไปทำงานกับโรงงาน/ของเสียไหน และควรคุยต่อสมาชิกกับใคร</t>
  </si>
  <si>
    <t xml:space="preserve">Fact + Dim_Factory[status, trial_days_left]</t>
  </si>
  <si>
    <t xml:space="preserve">3. Metric</t>
  </si>
  <si>
    <t xml:space="preserve">% ต้นทุนที่ลดได้ · % ไปหลุมฝังกลบ · ตันที่เลี่ยงหลุมฝังกลบ · ดีลที่ปิดได้ · อัตราต่อสมาชิก</t>
  </si>
  <si>
    <t xml:space="preserve">Monthly (สูตรจาก Fact) + Dim_Factory[status]</t>
  </si>
  <si>
    <t xml:space="preserve">4. Grain</t>
  </si>
  <si>
    <t xml:space="preserve">1 แถว = โรงงาน × ชนิดของเสีย × เดือน</t>
  </si>
  <si>
    <t xml:space="preserve">ชีต Fact (132 แถว)</t>
  </si>
  <si>
    <t xml:space="preserve">5. Dimension</t>
  </si>
  <si>
    <t xml:space="preserve">เวลา · โรงงาน/ขนาด S-M-L · ชนิดของเสีย · ใบอนุญาตผู้รับ 101/105/106 · สถานะลูกค้า</t>
  </si>
  <si>
    <t xml:space="preserve">Fact[month] · Dim_Factory · Dim_Stream</t>
  </si>
  <si>
    <t xml:space="preserve">6. Action</t>
  </si>
  <si>
    <t xml:space="preserve">ต่ำกว่าเป้า → หาผู้รับใหม่ · ประหยัดเกินเป้าแต่ไม่ต่อ → ส่งรายงานผลไปคุย · ทดลองใกล้หมด → นัดคุย</t>
  </si>
  <si>
    <t xml:space="preserve">กฎคำนวณจาก Fact + Dim_Factory</t>
  </si>
  <si>
    <t xml:space="preserve">Dim_Factory · โรงงานนำร่อง (สถานะ ณ 30 ก.ย. 2569)</t>
  </si>
  <si>
    <t xml:space="preserve">factory_id</t>
  </si>
  <si>
    <t xml:space="preserve">อุตสาหกรรม</t>
  </si>
  <si>
    <t xml:space="preserve">ขนาด (แพ็กเกจ)</t>
  </si>
  <si>
    <t xml:space="preserve">เดือนที่เข้าร่วม (1=ม.ค.)</t>
  </si>
  <si>
    <t xml:space="preserve">ค่ากำจัดเดิม บาท/เดือน</t>
  </si>
  <si>
    <t xml:space="preserve">สถานะลูกค้า</t>
  </si>
  <si>
    <t xml:space="preserve">เป็นสมาชิกตั้งแต่</t>
  </si>
  <si>
    <t xml:space="preserve">ทดลองฟรีเหลือ (วัน)</t>
  </si>
  <si>
    <t xml:space="preserve">ชนิดของเสีย</t>
  </si>
  <si>
    <t xml:space="preserve">F01</t>
  </si>
  <si>
    <t xml:space="preserve">ชิ้นส่วนโลหะ</t>
  </si>
  <si>
    <t xml:space="preserve">M</t>
  </si>
  <si>
    <t xml:space="preserve">สมาชิก</t>
  </si>
  <si>
    <t xml:space="preserve">2026-04</t>
  </si>
  <si>
    <t xml:space="preserve">เศษโลหะ/เศษเหล็กปน, กากตะกอน/ของเสียอื่น</t>
  </si>
  <si>
    <t xml:space="preserve">F02</t>
  </si>
  <si>
    <t xml:space="preserve">บรรจุภัณฑ์พลาสติก</t>
  </si>
  <si>
    <t xml:space="preserve">S</t>
  </si>
  <si>
    <t xml:space="preserve">หมดทดลอง-ยังไม่ต่อ</t>
  </si>
  <si>
    <t xml:space="preserve">เศษพลาสติก PP</t>
  </si>
  <si>
    <t xml:space="preserve">F03</t>
  </si>
  <si>
    <t xml:space="preserve">เฟอร์นิเจอร์ไม้</t>
  </si>
  <si>
    <t xml:space="preserve">ขี้เลื่อยไม้, น้ำมันหล่อลื่นใช้แล้ว</t>
  </si>
  <si>
    <t xml:space="preserve">F04</t>
  </si>
  <si>
    <t xml:space="preserve">แม่พิมพ์โลหะ</t>
  </si>
  <si>
    <t xml:space="preserve">เศษโลหะ/เศษเหล็กปน, น้ำมันหล่อลื่นใช้แล้ว</t>
  </si>
  <si>
    <t xml:space="preserve">F05</t>
  </si>
  <si>
    <t xml:space="preserve">สิ่งพิมพ์/กล่อง</t>
  </si>
  <si>
    <t xml:space="preserve">2026-06</t>
  </si>
  <si>
    <t xml:space="preserve">เศษกระดาษ/กล่อง, เศษพลาสติก PP</t>
  </si>
  <si>
    <t xml:space="preserve">F06</t>
  </si>
  <si>
    <t xml:space="preserve">สิ่งทอ</t>
  </si>
  <si>
    <t xml:space="preserve">เศษผ้า/ใยสังเคราะห์, เศษกระดาษ/กล่อง</t>
  </si>
  <si>
    <t xml:space="preserve">F07</t>
  </si>
  <si>
    <t xml:space="preserve">ชิ้นส่วนยานยนต์</t>
  </si>
  <si>
    <t xml:space="preserve">L</t>
  </si>
  <si>
    <t xml:space="preserve">2026-08</t>
  </si>
  <si>
    <t xml:space="preserve">เศษโลหะ/เศษเหล็กปน, เศษพลาสติก PP, น้ำมันหล่อลื่นใช้แล้ว</t>
  </si>
  <si>
    <t xml:space="preserve">F08</t>
  </si>
  <si>
    <t xml:space="preserve">อาหารแปรรูป</t>
  </si>
  <si>
    <t xml:space="preserve">เศษกระดาษ/กล่อง, กากตะกอน/ของเสียอื่น</t>
  </si>
  <si>
    <t xml:space="preserve">F09</t>
  </si>
  <si>
    <t xml:space="preserve">F10</t>
  </si>
  <si>
    <t xml:space="preserve">ชิ้นส่วนอิเล็กทรอนิกส์</t>
  </si>
  <si>
    <t xml:space="preserve">ทดลองฟรี</t>
  </si>
  <si>
    <t xml:space="preserve">เศษพลาสติก PP, เศษกระดาษ/กล่อง, น้ำมันหล่อลื่นใช้แล้ว</t>
  </si>
  <si>
    <t xml:space="preserve">F11</t>
  </si>
  <si>
    <t xml:space="preserve">เครื่องนุ่งห่ม</t>
  </si>
  <si>
    <t xml:space="preserve">F12</t>
  </si>
  <si>
    <t xml:space="preserve">เศษโลหะ/เศษเหล็กปน, น้ำมันหล่อลื่นใช้แล้ว, กากตะกอน/ของเสียอื่น</t>
  </si>
  <si>
    <t xml:space="preserve">ค่ากำจัดเดิมตามขนาด (สมมติฐาน): S 55,000 · M 90,000 · L 165,000 บาท/เดือน — แทนด้วยใบแจ้งหนี้จริง</t>
  </si>
  <si>
    <t xml:space="preserve">Dim_Stream · ชนิดของเสีย</t>
  </si>
  <si>
    <t xml:space="preserve">stream_id</t>
  </si>
  <si>
    <t xml:space="preserve">รหัสของเสีย</t>
  </si>
  <si>
    <t xml:space="preserve">ใบอนุญาตผู้รับ</t>
  </si>
  <si>
    <t xml:space="preserve">ผู้รับ</t>
  </si>
  <si>
    <t xml:space="preserve">เริ่มจับคู่ได้ (เดือน)</t>
  </si>
  <si>
    <t xml:space="preserve">metal</t>
  </si>
  <si>
    <t xml:space="preserve">เศษโลหะ/เศษเหล็กปน</t>
  </si>
  <si>
    <t xml:space="preserve">12 01 01</t>
  </si>
  <si>
    <t xml:space="preserve">105</t>
  </si>
  <si>
    <t xml:space="preserve">R1 โรงคัดแยกโลหะ</t>
  </si>
  <si>
    <t xml:space="preserve">pp</t>
  </si>
  <si>
    <t xml:space="preserve">07 02 13</t>
  </si>
  <si>
    <t xml:space="preserve">R2 โรงรีไซเคิลพลาสติก</t>
  </si>
  <si>
    <t xml:space="preserve">paper</t>
  </si>
  <si>
    <t xml:space="preserve">เศษกระดาษ/กล่อง</t>
  </si>
  <si>
    <t xml:space="preserve">15 01 01</t>
  </si>
  <si>
    <t xml:space="preserve">R3 โรงรีไซเคิลกระดาษ</t>
  </si>
  <si>
    <t xml:space="preserve">sawdust</t>
  </si>
  <si>
    <t xml:space="preserve">ขี้เลื่อยไม้</t>
  </si>
  <si>
    <t xml:space="preserve">03 01 05</t>
  </si>
  <si>
    <t xml:space="preserve">R4 โรงเชื้อเพลิงชีวมวล</t>
  </si>
  <si>
    <t xml:space="preserve">textile</t>
  </si>
  <si>
    <t xml:space="preserve">เศษผ้า/ใยสังเคราะห์</t>
  </si>
  <si>
    <t xml:space="preserve">04 02 22</t>
  </si>
  <si>
    <t xml:space="preserve">R5 โรงผลิต RDF</t>
  </si>
  <si>
    <t xml:space="preserve">oil</t>
  </si>
  <si>
    <t xml:space="preserve">น้ำมันหล่อลื่นใช้แล้ว</t>
  </si>
  <si>
    <t xml:space="preserve">13 02 05*</t>
  </si>
  <si>
    <t xml:space="preserve">106</t>
  </si>
  <si>
    <t xml:space="preserve">(รวมของให้ถึงขั้นต่ำ)</t>
  </si>
  <si>
    <t xml:space="preserve">ยังไม่ได้</t>
  </si>
  <si>
    <t xml:space="preserve">sludge</t>
  </si>
  <si>
    <t xml:space="preserve">กากตะกอน/ของเสียอื่น</t>
  </si>
  <si>
    <t xml:space="preserve">101</t>
  </si>
  <si>
    <t xml:space="preserve">(ยังไม่มีผู้รับ)</t>
  </si>
  <si>
    <t xml:space="preserve">Fact · 1 แถว = โรงงาน × ชนิดของเสีย × เดือน</t>
  </si>
  <si>
    <t xml:space="preserve">เดือน (1-9)</t>
  </si>
  <si>
    <t xml:space="preserve">เดือน</t>
  </si>
  <si>
    <t xml:space="preserve">ขนาด</t>
  </si>
  <si>
    <t xml:space="preserve">ตันที่ลงทะเบียน</t>
  </si>
  <si>
    <t xml:space="preserve">ตันที่จับคู่ได้</t>
  </si>
  <si>
    <t xml:space="preserve">ตันไปหลุมฝังกลบ</t>
  </si>
  <si>
    <t xml:space="preserve">ต้นทุนที่ลดได้ (บาท)</t>
  </si>
  <si>
    <t xml:space="preserve">kgCO₂e ที่ลดได้</t>
  </si>
  <si>
    <t xml:space="preserve">ดีลที่ปิดได้</t>
  </si>
  <si>
    <t xml:space="preserve">ม.ค. 69</t>
  </si>
  <si>
    <t xml:space="preserve">ก.พ. 69</t>
  </si>
  <si>
    <t xml:space="preserve">มี.ค. 69</t>
  </si>
  <si>
    <t xml:space="preserve">เม.ย. 69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</si>
  <si>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</si>
  <si>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</si>
  <si>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</si>
  <si>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</si>
  <si>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</si>
  <si>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Monthly · KPI รายเดือน (สูตร SUMIFS จาก Fact)</t>
  </si>
  <si>
    <t xml:space="preserve">โรงงานในระบบ</t>
  </si>
  <si>
    <t xml:space="preserve">% ไปหลุมฝังกลบ</t>
  </si>
  <si>
    <t xml:space="preserve">ค่ากำจัดเดิมรวม (บาท)</t>
  </si>
  <si>
    <t xml:space="preserve">% ต้นทุนที่ลดได้</t>
  </si>
  <si>
    <t xml:space="preserve">kgCO₂e</t>
  </si>
  <si>
    <t xml:space="preserve">รวม/ล่าสุด</t>
  </si>
  <si>
    <t xml:space="preserve">อัตราต่อสมาชิก (โรงงานที่ทดลองครบแล้ว)</t>
  </si>
  <si>
    <t xml:space="preserve">ทดลองครบ</t>
  </si>
  <si>
    <t xml:space="preserve">ต่อสมาชิก</t>
  </si>
  <si>
    <t xml:space="preserve">อัตราต่อ</t>
  </si>
  <si>
    <t xml:space="preserve">เป้าลดต้นทุน (BMC)</t>
  </si>
  <si>
    <t xml:space="preserve">Revenue · รายได้ ExerLink รายไตรมาส</t>
  </si>
  <si>
    <t xml:space="preserve">ช่องทางรายได้ (BMC)</t>
  </si>
  <si>
    <t xml:space="preserve">Q1/2569</t>
  </si>
  <si>
    <t xml:space="preserve">Q2/2569</t>
  </si>
  <si>
    <t xml:space="preserve">Q3/2569</t>
  </si>
  <si>
    <t xml:space="preserve">Resource mapping ทั้งนิคม</t>
  </si>
  <si>
    <t xml:space="preserve">สมาชิกรายปี S/M/L</t>
  </si>
  <si>
    <t xml:space="preserve">คอมมิชชันดีล 3–5%</t>
  </si>
  <si>
    <t xml:space="preserve">ค่าเตรียมเอกสาร กอ.1/กอ.2</t>
  </si>
  <si>
    <t xml:space="preserve">งบสนับสนุนเมืองอุตสาหกรรมเชิงนิเวศ</t>
  </si>
  <si>
    <t xml:space="preserve">รวม</t>
  </si>
  <si>
    <t xml:space="preserve">รายได้ประจำ (สมาชิก + คอมมิชชัน)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</si>
</sst>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%"/>
    <numFmt numFmtId="168" formatCode="0%"/>
    <numFmt numFmtId="169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b val="true"/>
      <sz val="13"/>
      <color rgb="FF0B8A5A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FF"/>
      <name val="Tahoma"/>
      <family val="0"/>
      <charset val="1"/>
    </font>
    <font>
      <i val="true"/>
      <sz val="9"/>
      <color rgb="FF555555"/>
      <name val="Tahoma"/>
      <family val="0"/>
      <charset val="1"/>
    </font>
    <font>
      <sz val="10"/>
      <color rgb="FF008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4B75"/>
        <bgColor rgb="FF333399"/>
      </patternFill>
    </fill>
    <fill>
      <patternFill patternType="solid">
        <fgColor rgb="FFE3F2E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4B7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A5A"/>
      <rgbColor rgb="FFC0C0C0"/>
      <rgbColor rgb="FF808080"/>
      <rgbColor rgb="FF9999FF"/>
      <rgbColor rgb="FF993366"/>
      <rgbColor rgb="FFFFFFCC"/>
      <rgbColor rgb="FFE3F2E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B7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2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2.65" hidden="false" customHeight="false" outlineLevel="0" collapsed="false">
      <c r="A4" s="2" t="s">
        <v>2</v>
      </c>
    </row>
    <row r="5" customFormat="false" ht="12.65" hidden="false" customHeight="false" outlineLevel="0" collapsed="false">
      <c r="A5" s="2" t="s">
        <v>3</v>
      </c>
    </row>
    <row r="6" customFormat="false" ht="12.65" hidden="false" customHeight="false" outlineLevel="0" collapsed="false">
      <c r="A6" s="2" t="s">
        <v>4</v>
      </c>
    </row>
    <row r="7" customFormat="false" ht="12.65" hidden="false" customHeight="false" outlineLevel="0" collapsed="false">
      <c r="A7" s="2" t="s">
        <v>5</v>
      </c>
    </row>
    <row r="8" customFormat="false" ht="12.6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2.65" hidden="false" customHeight="false" outlineLevel="0" collapsed="false">
      <c r="A10" s="2" t="s">
        <v>7</v>
      </c>
    </row>
    <row r="11" customFormat="false" ht="12.6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48"/>
  </cols>
  <sheetData>
    <row r="1" customFormat="false" ht="16.4" hidden="false" customHeight="false" outlineLevel="0" collapsed="false">
      <c r="A1" s="3" t="s">
        <v>9</v>
      </c>
    </row>
    <row r="3" customFormat="false" ht="33.75" hidden="false" customHeight="true" outlineLevel="0" collapsed="false">
      <c r="A3" s="4" t="s">
        <v>10</v>
      </c>
      <c r="B3" s="4" t="s">
        <v>11</v>
      </c>
      <c r="C3" s="4" t="s">
        <v>12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 t="s">
        <v>15</v>
      </c>
    </row>
    <row r="5" customFormat="false" ht="15" hidden="false" customHeight="false" outlineLevel="0" collapsed="false">
      <c r="A5" s="5" t="s">
        <v>16</v>
      </c>
      <c r="B5" s="5" t="s">
        <v>17</v>
      </c>
      <c r="C5" s="5" t="s">
        <v>18</v>
      </c>
    </row>
    <row r="6" customFormat="false" ht="15" hidden="false" customHeight="false" outlineLevel="0" collapsed="false">
      <c r="A6" s="5" t="s">
        <v>19</v>
      </c>
      <c r="B6" s="5" t="s">
        <v>20</v>
      </c>
      <c r="C6" s="5" t="s">
        <v>21</v>
      </c>
    </row>
    <row r="7" customFormat="false" ht="15" hidden="false" customHeight="false" outlineLevel="0" collapsed="false">
      <c r="A7" s="5" t="s">
        <v>22</v>
      </c>
      <c r="B7" s="5" t="s">
        <v>23</v>
      </c>
      <c r="C7" s="5" t="s">
        <v>24</v>
      </c>
    </row>
    <row r="8" customFormat="false" ht="15" hidden="false" customHeight="false" outlineLevel="0" collapsed="false">
      <c r="A8" s="5" t="s">
        <v>25</v>
      </c>
      <c r="B8" s="5" t="s">
        <v>26</v>
      </c>
      <c r="C8" s="5" t="s">
        <v>27</v>
      </c>
    </row>
    <row r="9" customFormat="false" ht="15" hidden="false" customHeight="false" outlineLevel="0" collapsed="false">
      <c r="A9" s="5" t="s">
        <v>28</v>
      </c>
      <c r="B9" s="5" t="s">
        <v>29</v>
      </c>
      <c r="C9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16.4" hidden="false" customHeight="false" outlineLevel="0" collapsed="false">
      <c r="A1" s="3" t="s">
        <v>31</v>
      </c>
    </row>
    <row r="3" customFormat="false" ht="33.75" hidden="false" customHeight="true" outlineLevel="0" collapsed="false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</row>
    <row r="4" customFormat="false" ht="15" hidden="false" customHeight="false" outlineLevel="0" collapsed="false">
      <c r="A4" s="6" t="s">
        <v>41</v>
      </c>
      <c r="B4" s="6" t="s">
        <v>42</v>
      </c>
      <c r="C4" s="6" t="s">
        <v>43</v>
      </c>
      <c r="D4" s="7" t="n">
        <v>1</v>
      </c>
      <c r="E4" s="8" t="n">
        <v>90000</v>
      </c>
      <c r="F4" s="6" t="s">
        <v>44</v>
      </c>
      <c r="G4" s="6" t="s">
        <v>45</v>
      </c>
      <c r="H4" s="7"/>
      <c r="I4" s="6" t="s">
        <v>46</v>
      </c>
    </row>
    <row r="5" customFormat="false" ht="15" hidden="false" customHeight="false" outlineLevel="0" collapsed="false">
      <c r="A5" s="6" t="s">
        <v>47</v>
      </c>
      <c r="B5" s="6" t="s">
        <v>48</v>
      </c>
      <c r="C5" s="6" t="s">
        <v>49</v>
      </c>
      <c r="D5" s="7" t="n">
        <v>1</v>
      </c>
      <c r="E5" s="8" t="n">
        <v>55000</v>
      </c>
      <c r="F5" s="6" t="s">
        <v>50</v>
      </c>
      <c r="G5" s="6"/>
      <c r="H5" s="7"/>
      <c r="I5" s="6" t="s">
        <v>51</v>
      </c>
    </row>
    <row r="6" customFormat="false" ht="15" hidden="false" customHeight="false" outlineLevel="0" collapsed="false">
      <c r="A6" s="6" t="s">
        <v>52</v>
      </c>
      <c r="B6" s="6" t="s">
        <v>53</v>
      </c>
      <c r="C6" s="6" t="s">
        <v>49</v>
      </c>
      <c r="D6" s="7" t="n">
        <v>2</v>
      </c>
      <c r="E6" s="8" t="n">
        <v>55000</v>
      </c>
      <c r="F6" s="6" t="s">
        <v>50</v>
      </c>
      <c r="G6" s="6"/>
      <c r="H6" s="7"/>
      <c r="I6" s="6" t="s">
        <v>54</v>
      </c>
    </row>
    <row r="7" customFormat="false" ht="15" hidden="false" customHeight="false" outlineLevel="0" collapsed="false">
      <c r="A7" s="6" t="s">
        <v>55</v>
      </c>
      <c r="B7" s="6" t="s">
        <v>56</v>
      </c>
      <c r="C7" s="6" t="s">
        <v>43</v>
      </c>
      <c r="D7" s="7" t="n">
        <v>3</v>
      </c>
      <c r="E7" s="8" t="n">
        <v>90000</v>
      </c>
      <c r="F7" s="6" t="s">
        <v>50</v>
      </c>
      <c r="G7" s="6"/>
      <c r="H7" s="7"/>
      <c r="I7" s="6" t="s">
        <v>57</v>
      </c>
    </row>
    <row r="8" customFormat="false" ht="15" hidden="false" customHeight="false" outlineLevel="0" collapsed="false">
      <c r="A8" s="6" t="s">
        <v>58</v>
      </c>
      <c r="B8" s="6" t="s">
        <v>59</v>
      </c>
      <c r="C8" s="6" t="s">
        <v>49</v>
      </c>
      <c r="D8" s="7" t="n">
        <v>3</v>
      </c>
      <c r="E8" s="8" t="n">
        <v>55000</v>
      </c>
      <c r="F8" s="6" t="s">
        <v>44</v>
      </c>
      <c r="G8" s="6" t="s">
        <v>60</v>
      </c>
      <c r="H8" s="7"/>
      <c r="I8" s="6" t="s">
        <v>61</v>
      </c>
    </row>
    <row r="9" customFormat="false" ht="15" hidden="false" customHeight="false" outlineLevel="0" collapsed="false">
      <c r="A9" s="6" t="s">
        <v>62</v>
      </c>
      <c r="B9" s="6" t="s">
        <v>63</v>
      </c>
      <c r="C9" s="6" t="s">
        <v>43</v>
      </c>
      <c r="D9" s="7" t="n">
        <v>4</v>
      </c>
      <c r="E9" s="8" t="n">
        <v>90000</v>
      </c>
      <c r="F9" s="6" t="s">
        <v>50</v>
      </c>
      <c r="G9" s="6"/>
      <c r="H9" s="7"/>
      <c r="I9" s="6" t="s">
        <v>64</v>
      </c>
    </row>
    <row r="10" customFormat="false" ht="15" hidden="false" customHeight="false" outlineLevel="0" collapsed="false">
      <c r="A10" s="6" t="s">
        <v>65</v>
      </c>
      <c r="B10" s="6" t="s">
        <v>66</v>
      </c>
      <c r="C10" s="6" t="s">
        <v>67</v>
      </c>
      <c r="D10" s="7" t="n">
        <v>5</v>
      </c>
      <c r="E10" s="8" t="n">
        <v>165000</v>
      </c>
      <c r="F10" s="6" t="s">
        <v>44</v>
      </c>
      <c r="G10" s="6" t="s">
        <v>68</v>
      </c>
      <c r="H10" s="7"/>
      <c r="I10" s="6" t="s">
        <v>69</v>
      </c>
    </row>
    <row r="11" customFormat="false" ht="15" hidden="false" customHeight="false" outlineLevel="0" collapsed="false">
      <c r="A11" s="6" t="s">
        <v>70</v>
      </c>
      <c r="B11" s="6" t="s">
        <v>71</v>
      </c>
      <c r="C11" s="6" t="s">
        <v>49</v>
      </c>
      <c r="D11" s="7" t="n">
        <v>5</v>
      </c>
      <c r="E11" s="8" t="n">
        <v>55000</v>
      </c>
      <c r="F11" s="6" t="s">
        <v>50</v>
      </c>
      <c r="G11" s="6"/>
      <c r="H11" s="7"/>
      <c r="I11" s="6" t="s">
        <v>72</v>
      </c>
    </row>
    <row r="12" customFormat="false" ht="15" hidden="false" customHeight="false" outlineLevel="0" collapsed="false">
      <c r="A12" s="6" t="s">
        <v>73</v>
      </c>
      <c r="B12" s="6" t="s">
        <v>53</v>
      </c>
      <c r="C12" s="6" t="s">
        <v>49</v>
      </c>
      <c r="D12" s="7" t="n">
        <v>6</v>
      </c>
      <c r="E12" s="8" t="n">
        <v>55000</v>
      </c>
      <c r="F12" s="6" t="s">
        <v>50</v>
      </c>
      <c r="G12" s="6"/>
      <c r="H12" s="7"/>
      <c r="I12" s="6" t="s">
        <v>54</v>
      </c>
    </row>
    <row r="13" customFormat="false" ht="15" hidden="false" customHeight="false" outlineLevel="0" collapsed="false">
      <c r="A13" s="6" t="s">
        <v>74</v>
      </c>
      <c r="B13" s="6" t="s">
        <v>75</v>
      </c>
      <c r="C13" s="6" t="s">
        <v>43</v>
      </c>
      <c r="D13" s="7" t="n">
        <v>7</v>
      </c>
      <c r="E13" s="8" t="n">
        <v>90000</v>
      </c>
      <c r="F13" s="6" t="s">
        <v>76</v>
      </c>
      <c r="G13" s="6"/>
      <c r="H13" s="7" t="n">
        <v>10</v>
      </c>
      <c r="I13" s="6" t="s">
        <v>77</v>
      </c>
    </row>
    <row r="14" customFormat="false" ht="15" hidden="false" customHeight="false" outlineLevel="0" collapsed="false">
      <c r="A14" s="6" t="s">
        <v>78</v>
      </c>
      <c r="B14" s="6" t="s">
        <v>79</v>
      </c>
      <c r="C14" s="6" t="s">
        <v>49</v>
      </c>
      <c r="D14" s="7" t="n">
        <v>8</v>
      </c>
      <c r="E14" s="8" t="n">
        <v>55000</v>
      </c>
      <c r="F14" s="6" t="s">
        <v>76</v>
      </c>
      <c r="G14" s="6"/>
      <c r="H14" s="7" t="n">
        <v>45</v>
      </c>
      <c r="I14" s="6" t="s">
        <v>64</v>
      </c>
    </row>
    <row r="15" customFormat="false" ht="15" hidden="false" customHeight="false" outlineLevel="0" collapsed="false">
      <c r="A15" s="6" t="s">
        <v>80</v>
      </c>
      <c r="B15" s="6" t="s">
        <v>42</v>
      </c>
      <c r="C15" s="6" t="s">
        <v>67</v>
      </c>
      <c r="D15" s="7" t="n">
        <v>9</v>
      </c>
      <c r="E15" s="8" t="n">
        <v>165000</v>
      </c>
      <c r="F15" s="6" t="s">
        <v>76</v>
      </c>
      <c r="G15" s="6"/>
      <c r="H15" s="7" t="n">
        <v>63</v>
      </c>
      <c r="I15" s="6" t="s">
        <v>81</v>
      </c>
    </row>
    <row r="17" customFormat="false" ht="15" hidden="false" customHeight="false" outlineLevel="0" collapsed="false">
      <c r="A17" s="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16.4" hidden="false" customHeight="false" outlineLevel="0" collapsed="false">
      <c r="A1" s="3" t="s">
        <v>83</v>
      </c>
    </row>
    <row r="3" customFormat="false" ht="33.75" hidden="false" customHeight="true" outlineLevel="0" collapsed="false">
      <c r="A3" s="4" t="s">
        <v>84</v>
      </c>
      <c r="B3" s="4" t="s">
        <v>40</v>
      </c>
      <c r="C3" s="4" t="s">
        <v>85</v>
      </c>
      <c r="D3" s="4" t="s">
        <v>86</v>
      </c>
      <c r="E3" s="4" t="s">
        <v>87</v>
      </c>
      <c r="F3" s="4" t="s">
        <v>88</v>
      </c>
    </row>
    <row r="4" customFormat="false" ht="15" hidden="false" customHeight="false" outlineLevel="0" collapsed="false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n">
        <v>1</v>
      </c>
    </row>
    <row r="5" customFormat="false" ht="15" hidden="false" customHeight="false" outlineLevel="0" collapsed="false">
      <c r="A5" s="6" t="s">
        <v>94</v>
      </c>
      <c r="B5" s="6" t="s">
        <v>51</v>
      </c>
      <c r="C5" s="6" t="s">
        <v>95</v>
      </c>
      <c r="D5" s="6" t="s">
        <v>92</v>
      </c>
      <c r="E5" s="6" t="s">
        <v>96</v>
      </c>
      <c r="F5" s="6" t="n">
        <v>2</v>
      </c>
    </row>
    <row r="6" customFormat="false" ht="15" hidden="false" customHeight="false" outlineLevel="0" collapsed="false">
      <c r="A6" s="6" t="s">
        <v>97</v>
      </c>
      <c r="B6" s="6" t="s">
        <v>98</v>
      </c>
      <c r="C6" s="6" t="s">
        <v>99</v>
      </c>
      <c r="D6" s="6" t="s">
        <v>92</v>
      </c>
      <c r="E6" s="6" t="s">
        <v>100</v>
      </c>
      <c r="F6" s="6" t="n">
        <v>3</v>
      </c>
    </row>
    <row r="7" customFormat="false" ht="15" hidden="false" customHeight="false" outlineLevel="0" collapsed="false">
      <c r="A7" s="6" t="s">
        <v>101</v>
      </c>
      <c r="B7" s="6" t="s">
        <v>102</v>
      </c>
      <c r="C7" s="6" t="s">
        <v>103</v>
      </c>
      <c r="D7" s="6" t="s">
        <v>92</v>
      </c>
      <c r="E7" s="6" t="s">
        <v>104</v>
      </c>
      <c r="F7" s="6" t="n">
        <v>4</v>
      </c>
    </row>
    <row r="8" customFormat="false" ht="15" hidden="false" customHeight="false" outlineLevel="0" collapsed="false">
      <c r="A8" s="6" t="s">
        <v>105</v>
      </c>
      <c r="B8" s="6" t="s">
        <v>106</v>
      </c>
      <c r="C8" s="6" t="s">
        <v>107</v>
      </c>
      <c r="D8" s="6" t="s">
        <v>92</v>
      </c>
      <c r="E8" s="6" t="s">
        <v>108</v>
      </c>
      <c r="F8" s="6" t="n">
        <v>6</v>
      </c>
    </row>
    <row r="9" customFormat="false" ht="15" hidden="false" customHeight="false" outlineLevel="0" collapsed="false">
      <c r="A9" s="6" t="s">
        <v>109</v>
      </c>
      <c r="B9" s="6" t="s">
        <v>110</v>
      </c>
      <c r="C9" s="6" t="s">
        <v>111</v>
      </c>
      <c r="D9" s="6" t="s">
        <v>112</v>
      </c>
      <c r="E9" s="6" t="s">
        <v>113</v>
      </c>
      <c r="F9" s="6" t="s">
        <v>114</v>
      </c>
    </row>
    <row r="10" customFormat="false" ht="15" hidden="false" customHeight="false" outlineLevel="0" collapsed="false">
      <c r="A10" s="6" t="s">
        <v>115</v>
      </c>
      <c r="B10" s="6" t="s">
        <v>116</v>
      </c>
      <c r="C10" s="6" t="s">
        <v>15</v>
      </c>
      <c r="D10" s="6" t="s">
        <v>117</v>
      </c>
      <c r="E10" s="6" t="s">
        <v>118</v>
      </c>
      <c r="F10" s="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6.4" hidden="false" customHeight="false" outlineLevel="0" collapsed="false">
      <c r="A1" s="3" t="s">
        <v>119</v>
      </c>
    </row>
    <row r="3" customFormat="false" ht="33.75" hidden="false" customHeight="true" outlineLevel="0" collapsed="false">
      <c r="A3" s="4" t="s">
        <v>120</v>
      </c>
      <c r="B3" s="4" t="s">
        <v>121</v>
      </c>
      <c r="C3" s="4" t="s">
        <v>32</v>
      </c>
      <c r="D3" s="4" t="s">
        <v>84</v>
      </c>
      <c r="E3" s="4" t="s">
        <v>122</v>
      </c>
      <c r="F3" s="4" t="s">
        <v>86</v>
      </c>
      <c r="G3" s="4" t="s">
        <v>123</v>
      </c>
      <c r="H3" s="4" t="s">
        <v>124</v>
      </c>
      <c r="I3" s="4" t="s">
        <v>125</v>
      </c>
      <c r="J3" s="4" t="s">
        <v>126</v>
      </c>
      <c r="K3" s="4" t="s">
        <v>127</v>
      </c>
      <c r="L3" s="4" t="s">
        <v>128</v>
      </c>
    </row>
    <row r="4" customFormat="false" ht="15" hidden="false" customHeight="false" outlineLevel="0" collapsed="false">
      <c r="A4" s="6" t="n">
        <v>1</v>
      </c>
      <c r="B4" s="6" t="s">
        <v>129</v>
      </c>
      <c r="C4" s="6" t="s">
        <v>41</v>
      </c>
      <c r="D4" s="6" t="s">
        <v>89</v>
      </c>
      <c r="E4" s="10" t="str">
        <f aca="false">INDEX(Dim_Factory!$C$4:$C$15,MATCH(C4,Dim_Factory!$A$4:$A$15,0))</f>
        <v>M</v>
      </c>
      <c r="F4" s="10" t="str">
        <f aca="false">INDEX(Dim_Stream!$D$4:$D$10,MATCH(D4,Dim_Stream!$A$4:$A$10,0))</f>
        <v>105</v>
      </c>
      <c r="G4" s="11" t="n">
        <v>21.7</v>
      </c>
      <c r="H4" s="11" t="n">
        <v>10</v>
      </c>
      <c r="I4" s="12" t="n">
        <f aca="false">G4-H4</f>
        <v>11.7</v>
      </c>
      <c r="J4" s="8" t="n">
        <v>9000</v>
      </c>
      <c r="K4" s="8" t="n">
        <v>3500</v>
      </c>
      <c r="L4" s="7" t="n">
        <v>1</v>
      </c>
    </row>
    <row r="5" customFormat="false" ht="15" hidden="false" customHeight="false" outlineLevel="0" collapsed="false">
      <c r="A5" s="6" t="n">
        <v>1</v>
      </c>
      <c r="B5" s="6" t="s">
        <v>129</v>
      </c>
      <c r="C5" s="6" t="s">
        <v>41</v>
      </c>
      <c r="D5" s="6" t="s">
        <v>115</v>
      </c>
      <c r="E5" s="10" t="str">
        <f aca="false">INDEX(Dim_Factory!$C$4:$C$15,MATCH(C5,Dim_Factory!$A$4:$A$15,0))</f>
        <v>M</v>
      </c>
      <c r="F5" s="10" t="str">
        <f aca="false">INDEX(Dim_Stream!$D$4:$D$10,MATCH(D5,Dim_Stream!$A$4:$A$10,0))</f>
        <v>101</v>
      </c>
      <c r="G5" s="11" t="n">
        <v>13.3</v>
      </c>
      <c r="H5" s="11" t="n">
        <v>0</v>
      </c>
      <c r="I5" s="12" t="n">
        <f aca="false">G5-H5</f>
        <v>13.3</v>
      </c>
      <c r="J5" s="8" t="n">
        <v>0</v>
      </c>
      <c r="K5" s="8" t="n">
        <v>0</v>
      </c>
      <c r="L5" s="7" t="n">
        <v>0</v>
      </c>
    </row>
    <row r="6" customFormat="false" ht="15" hidden="false" customHeight="false" outlineLevel="0" collapsed="false">
      <c r="A6" s="6" t="n">
        <v>1</v>
      </c>
      <c r="B6" s="6" t="s">
        <v>129</v>
      </c>
      <c r="C6" s="6" t="s">
        <v>47</v>
      </c>
      <c r="D6" s="6" t="s">
        <v>94</v>
      </c>
      <c r="E6" s="10" t="str">
        <f aca="false">INDEX(Dim_Factory!$C$4:$C$15,MATCH(C6,Dim_Factory!$A$4:$A$15,0))</f>
        <v>S</v>
      </c>
      <c r="F6" s="10" t="str">
        <f aca="false">INDEX(Dim_Stream!$D$4:$D$10,MATCH(D6,Dim_Stream!$A$4:$A$10,0))</f>
        <v>105</v>
      </c>
      <c r="G6" s="11" t="n">
        <v>10</v>
      </c>
      <c r="H6" s="11" t="n">
        <v>0</v>
      </c>
      <c r="I6" s="12" t="n">
        <f aca="false">G6-H6</f>
        <v>10</v>
      </c>
      <c r="J6" s="8" t="n">
        <v>0</v>
      </c>
      <c r="K6" s="8" t="n">
        <v>0</v>
      </c>
      <c r="L6" s="7" t="n">
        <v>0</v>
      </c>
    </row>
    <row r="7" customFormat="false" ht="15" hidden="false" customHeight="false" outlineLevel="0" collapsed="false">
      <c r="A7" s="6" t="n">
        <v>2</v>
      </c>
      <c r="B7" s="6" t="s">
        <v>130</v>
      </c>
      <c r="C7" s="6" t="s">
        <v>41</v>
      </c>
      <c r="D7" s="6" t="s">
        <v>89</v>
      </c>
      <c r="E7" s="10" t="str">
        <f aca="false">INDEX(Dim_Factory!$C$4:$C$15,MATCH(C7,Dim_Factory!$A$4:$A$15,0))</f>
        <v>M</v>
      </c>
      <c r="F7" s="10" t="str">
        <f aca="false">INDEX(Dim_Stream!$D$4:$D$10,MATCH(D7,Dim_Stream!$A$4:$A$10,0))</f>
        <v>105</v>
      </c>
      <c r="G7" s="11" t="n">
        <v>27.8</v>
      </c>
      <c r="H7" s="11" t="n">
        <v>14</v>
      </c>
      <c r="I7" s="12" t="n">
        <f aca="false">G7-H7</f>
        <v>13.8</v>
      </c>
      <c r="J7" s="8" t="n">
        <v>10660</v>
      </c>
      <c r="K7" s="8" t="n">
        <v>4623</v>
      </c>
      <c r="L7" s="7" t="n">
        <v>1</v>
      </c>
    </row>
    <row r="8" customFormat="false" ht="15" hidden="false" customHeight="false" outlineLevel="0" collapsed="false">
      <c r="A8" s="6" t="n">
        <v>2</v>
      </c>
      <c r="B8" s="6" t="s">
        <v>130</v>
      </c>
      <c r="C8" s="6" t="s">
        <v>41</v>
      </c>
      <c r="D8" s="6" t="s">
        <v>115</v>
      </c>
      <c r="E8" s="10" t="str">
        <f aca="false">INDEX(Dim_Factory!$C$4:$C$15,MATCH(C8,Dim_Factory!$A$4:$A$15,0))</f>
        <v>M</v>
      </c>
      <c r="F8" s="10" t="str">
        <f aca="false">INDEX(Dim_Stream!$D$4:$D$10,MATCH(D8,Dim_Stream!$A$4:$A$10,0))</f>
        <v>101</v>
      </c>
      <c r="G8" s="11" t="n">
        <v>11.3</v>
      </c>
      <c r="H8" s="11" t="n">
        <v>0</v>
      </c>
      <c r="I8" s="12" t="n">
        <f aca="false">G8-H8</f>
        <v>11.3</v>
      </c>
      <c r="J8" s="8" t="n">
        <v>0</v>
      </c>
      <c r="K8" s="8" t="n">
        <v>0</v>
      </c>
      <c r="L8" s="7" t="n">
        <v>0</v>
      </c>
    </row>
    <row r="9" customFormat="false" ht="15" hidden="false" customHeight="false" outlineLevel="0" collapsed="false">
      <c r="A9" s="6" t="n">
        <v>2</v>
      </c>
      <c r="B9" s="6" t="s">
        <v>130</v>
      </c>
      <c r="C9" s="6" t="s">
        <v>47</v>
      </c>
      <c r="D9" s="6" t="s">
        <v>94</v>
      </c>
      <c r="E9" s="10" t="str">
        <f aca="false">INDEX(Dim_Factory!$C$4:$C$15,MATCH(C9,Dim_Factory!$A$4:$A$15,0))</f>
        <v>S</v>
      </c>
      <c r="F9" s="10" t="str">
        <f aca="false">INDEX(Dim_Stream!$D$4:$D$10,MATCH(D9,Dim_Stream!$A$4:$A$10,0))</f>
        <v>105</v>
      </c>
      <c r="G9" s="11" t="n">
        <v>11.9</v>
      </c>
      <c r="H9" s="11" t="n">
        <v>6</v>
      </c>
      <c r="I9" s="12" t="n">
        <f aca="false">G9-H9</f>
        <v>5.9</v>
      </c>
      <c r="J9" s="8" t="n">
        <v>6340</v>
      </c>
      <c r="K9" s="8" t="n">
        <v>2477</v>
      </c>
      <c r="L9" s="7" t="n">
        <v>1</v>
      </c>
    </row>
    <row r="10" customFormat="false" ht="15" hidden="false" customHeight="false" outlineLevel="0" collapsed="false">
      <c r="A10" s="6" t="n">
        <v>2</v>
      </c>
      <c r="B10" s="6" t="s">
        <v>130</v>
      </c>
      <c r="C10" s="6" t="s">
        <v>52</v>
      </c>
      <c r="D10" s="6" t="s">
        <v>101</v>
      </c>
      <c r="E10" s="10" t="str">
        <f aca="false">INDEX(Dim_Factory!$C$4:$C$15,MATCH(C10,Dim_Factory!$A$4:$A$15,0))</f>
        <v>S</v>
      </c>
      <c r="F10" s="10" t="str">
        <f aca="false">INDEX(Dim_Stream!$D$4:$D$10,MATCH(D10,Dim_Stream!$A$4:$A$10,0))</f>
        <v>105</v>
      </c>
      <c r="G10" s="11" t="n">
        <v>8.5</v>
      </c>
      <c r="H10" s="11" t="n">
        <v>0</v>
      </c>
      <c r="I10" s="12" t="n">
        <f aca="false">G10-H10</f>
        <v>8.5</v>
      </c>
      <c r="J10" s="8" t="n">
        <v>0</v>
      </c>
      <c r="K10" s="8" t="n">
        <v>0</v>
      </c>
      <c r="L10" s="7" t="n">
        <v>0</v>
      </c>
    </row>
    <row r="11" customFormat="false" ht="15" hidden="false" customHeight="false" outlineLevel="0" collapsed="false">
      <c r="A11" s="6" t="n">
        <v>2</v>
      </c>
      <c r="B11" s="6" t="s">
        <v>130</v>
      </c>
      <c r="C11" s="6" t="s">
        <v>52</v>
      </c>
      <c r="D11" s="6" t="s">
        <v>109</v>
      </c>
      <c r="E11" s="10" t="str">
        <f aca="false">INDEX(Dim_Factory!$C$4:$C$15,MATCH(C11,Dim_Factory!$A$4:$A$15,0))</f>
        <v>S</v>
      </c>
      <c r="F11" s="10" t="str">
        <f aca="false">INDEX(Dim_Stream!$D$4:$D$10,MATCH(D11,Dim_Stream!$A$4:$A$10,0))</f>
        <v>106</v>
      </c>
      <c r="G11" s="11" t="n">
        <v>0.5</v>
      </c>
      <c r="H11" s="11" t="n">
        <v>0</v>
      </c>
      <c r="I11" s="12" t="n">
        <f aca="false">G11-H11</f>
        <v>0.5</v>
      </c>
      <c r="J11" s="8" t="n">
        <v>0</v>
      </c>
      <c r="K11" s="8" t="n">
        <v>0</v>
      </c>
      <c r="L11" s="7" t="n">
        <v>0</v>
      </c>
    </row>
    <row r="12" customFormat="false" ht="15" hidden="false" customHeight="false" outlineLevel="0" collapsed="false">
      <c r="A12" s="6" t="n">
        <v>3</v>
      </c>
      <c r="B12" s="6" t="s">
        <v>131</v>
      </c>
      <c r="C12" s="6" t="s">
        <v>41</v>
      </c>
      <c r="D12" s="6" t="s">
        <v>89</v>
      </c>
      <c r="E12" s="10" t="str">
        <f aca="false">INDEX(Dim_Factory!$C$4:$C$15,MATCH(C12,Dim_Factory!$A$4:$A$15,0))</f>
        <v>M</v>
      </c>
      <c r="F12" s="10" t="str">
        <f aca="false">INDEX(Dim_Stream!$D$4:$D$10,MATCH(D12,Dim_Stream!$A$4:$A$10,0))</f>
        <v>105</v>
      </c>
      <c r="G12" s="11" t="n">
        <v>16.5</v>
      </c>
      <c r="H12" s="11" t="n">
        <v>9</v>
      </c>
      <c r="I12" s="12" t="n">
        <f aca="false">G12-H12</f>
        <v>7.5</v>
      </c>
      <c r="J12" s="8" t="n">
        <v>7310</v>
      </c>
      <c r="K12" s="8" t="n">
        <v>3126</v>
      </c>
      <c r="L12" s="7" t="n">
        <v>1</v>
      </c>
    </row>
    <row r="13" customFormat="false" ht="15" hidden="false" customHeight="false" outlineLevel="0" collapsed="false">
      <c r="A13" s="6" t="n">
        <v>3</v>
      </c>
      <c r="B13" s="6" t="s">
        <v>131</v>
      </c>
      <c r="C13" s="6" t="s">
        <v>41</v>
      </c>
      <c r="D13" s="6" t="s">
        <v>115</v>
      </c>
      <c r="E13" s="10" t="str">
        <f aca="false">INDEX(Dim_Factory!$C$4:$C$15,MATCH(C13,Dim_Factory!$A$4:$A$15,0))</f>
        <v>M</v>
      </c>
      <c r="F13" s="10" t="str">
        <f aca="false">INDEX(Dim_Stream!$D$4:$D$10,MATCH(D13,Dim_Stream!$A$4:$A$10,0))</f>
        <v>101</v>
      </c>
      <c r="G13" s="11" t="n">
        <v>9.3</v>
      </c>
      <c r="H13" s="11" t="n">
        <v>0</v>
      </c>
      <c r="I13" s="12" t="n">
        <f aca="false">G13-H13</f>
        <v>9.3</v>
      </c>
      <c r="J13" s="8" t="n">
        <v>0</v>
      </c>
      <c r="K13" s="8" t="n">
        <v>0</v>
      </c>
      <c r="L13" s="7" t="n">
        <v>0</v>
      </c>
    </row>
    <row r="14" customFormat="false" ht="15" hidden="false" customHeight="false" outlineLevel="0" collapsed="false">
      <c r="A14" s="6" t="n">
        <v>3</v>
      </c>
      <c r="B14" s="6" t="s">
        <v>131</v>
      </c>
      <c r="C14" s="6" t="s">
        <v>47</v>
      </c>
      <c r="D14" s="6" t="s">
        <v>94</v>
      </c>
      <c r="E14" s="10" t="str">
        <f aca="false">INDEX(Dim_Factory!$C$4:$C$15,MATCH(C14,Dim_Factory!$A$4:$A$15,0))</f>
        <v>S</v>
      </c>
      <c r="F14" s="10" t="str">
        <f aca="false">INDEX(Dim_Stream!$D$4:$D$10,MATCH(D14,Dim_Stream!$A$4:$A$10,0))</f>
        <v>105</v>
      </c>
      <c r="G14" s="11" t="n">
        <v>9.2</v>
      </c>
      <c r="H14" s="11" t="n">
        <v>5</v>
      </c>
      <c r="I14" s="12" t="n">
        <f aca="false">G14-H14</f>
        <v>4.2</v>
      </c>
      <c r="J14" s="8" t="n">
        <v>5650</v>
      </c>
      <c r="K14" s="8" t="n">
        <v>2172</v>
      </c>
      <c r="L14" s="7" t="n">
        <v>1</v>
      </c>
    </row>
    <row r="15" customFormat="false" ht="15" hidden="false" customHeight="false" outlineLevel="0" collapsed="false">
      <c r="A15" s="6" t="n">
        <v>3</v>
      </c>
      <c r="B15" s="6" t="s">
        <v>131</v>
      </c>
      <c r="C15" s="6" t="s">
        <v>52</v>
      </c>
      <c r="D15" s="6" t="s">
        <v>101</v>
      </c>
      <c r="E15" s="10" t="str">
        <f aca="false">INDEX(Dim_Factory!$C$4:$C$15,MATCH(C15,Dim_Factory!$A$4:$A$15,0))</f>
        <v>S</v>
      </c>
      <c r="F15" s="10" t="str">
        <f aca="false">INDEX(Dim_Stream!$D$4:$D$10,MATCH(D15,Dim_Stream!$A$4:$A$10,0))</f>
        <v>105</v>
      </c>
      <c r="G15" s="11" t="n">
        <v>7.1</v>
      </c>
      <c r="H15" s="11" t="n">
        <v>0</v>
      </c>
      <c r="I15" s="12" t="n">
        <f aca="false">G15-H15</f>
        <v>7.1</v>
      </c>
      <c r="J15" s="8" t="n">
        <v>0</v>
      </c>
      <c r="K15" s="8" t="n">
        <v>0</v>
      </c>
      <c r="L15" s="7" t="n">
        <v>0</v>
      </c>
    </row>
    <row r="16" customFormat="false" ht="15" hidden="false" customHeight="false" outlineLevel="0" collapsed="false">
      <c r="A16" s="6" t="n">
        <v>3</v>
      </c>
      <c r="B16" s="6" t="s">
        <v>131</v>
      </c>
      <c r="C16" s="6" t="s">
        <v>52</v>
      </c>
      <c r="D16" s="6" t="s">
        <v>109</v>
      </c>
      <c r="E16" s="10" t="str">
        <f aca="false">INDEX(Dim_Factory!$C$4:$C$15,MATCH(C16,Dim_Factory!$A$4:$A$15,0))</f>
        <v>S</v>
      </c>
      <c r="F16" s="10" t="str">
        <f aca="false">INDEX(Dim_Stream!$D$4:$D$10,MATCH(D16,Dim_Stream!$A$4:$A$10,0))</f>
        <v>106</v>
      </c>
      <c r="G16" s="11" t="n">
        <v>0.5</v>
      </c>
      <c r="H16" s="11" t="n">
        <v>0</v>
      </c>
      <c r="I16" s="12" t="n">
        <f aca="false">G16-H16</f>
        <v>0.5</v>
      </c>
      <c r="J16" s="8" t="n">
        <v>0</v>
      </c>
      <c r="K16" s="8" t="n">
        <v>0</v>
      </c>
      <c r="L16" s="7" t="n">
        <v>0</v>
      </c>
    </row>
    <row r="17" customFormat="false" ht="15" hidden="false" customHeight="false" outlineLevel="0" collapsed="false">
      <c r="A17" s="6" t="n">
        <v>3</v>
      </c>
      <c r="B17" s="6" t="s">
        <v>131</v>
      </c>
      <c r="C17" s="6" t="s">
        <v>55</v>
      </c>
      <c r="D17" s="6" t="s">
        <v>89</v>
      </c>
      <c r="E17" s="10" t="str">
        <f aca="false">INDEX(Dim_Factory!$C$4:$C$15,MATCH(C17,Dim_Factory!$A$4:$A$15,0))</f>
        <v>M</v>
      </c>
      <c r="F17" s="10" t="str">
        <f aca="false">INDEX(Dim_Stream!$D$4:$D$10,MATCH(D17,Dim_Stream!$A$4:$A$10,0))</f>
        <v>105</v>
      </c>
      <c r="G17" s="11" t="n">
        <v>16.5</v>
      </c>
      <c r="H17" s="11" t="n">
        <v>9</v>
      </c>
      <c r="I17" s="12" t="n">
        <f aca="false">G17-H17</f>
        <v>7.5</v>
      </c>
      <c r="J17" s="8" t="n">
        <v>7320</v>
      </c>
      <c r="K17" s="8" t="n">
        <v>3127</v>
      </c>
      <c r="L17" s="7" t="n">
        <v>1</v>
      </c>
    </row>
    <row r="18" customFormat="false" ht="15" hidden="false" customHeight="false" outlineLevel="0" collapsed="false">
      <c r="A18" s="6" t="n">
        <v>3</v>
      </c>
      <c r="B18" s="6" t="s">
        <v>131</v>
      </c>
      <c r="C18" s="6" t="s">
        <v>55</v>
      </c>
      <c r="D18" s="6" t="s">
        <v>109</v>
      </c>
      <c r="E18" s="10" t="str">
        <f aca="false">INDEX(Dim_Factory!$C$4:$C$15,MATCH(C18,Dim_Factory!$A$4:$A$15,0))</f>
        <v>M</v>
      </c>
      <c r="F18" s="10" t="str">
        <f aca="false">INDEX(Dim_Stream!$D$4:$D$10,MATCH(D18,Dim_Stream!$A$4:$A$10,0))</f>
        <v>106</v>
      </c>
      <c r="G18" s="11" t="n">
        <v>0.5</v>
      </c>
      <c r="H18" s="11" t="n">
        <v>0</v>
      </c>
      <c r="I18" s="12" t="n">
        <f aca="false">G18-H18</f>
        <v>0.5</v>
      </c>
      <c r="J18" s="8" t="n">
        <v>0</v>
      </c>
      <c r="K18" s="8" t="n">
        <v>0</v>
      </c>
      <c r="L18" s="7" t="n">
        <v>0</v>
      </c>
    </row>
    <row r="19" customFormat="false" ht="15" hidden="false" customHeight="false" outlineLevel="0" collapsed="false">
      <c r="A19" s="6" t="n">
        <v>3</v>
      </c>
      <c r="B19" s="6" t="s">
        <v>131</v>
      </c>
      <c r="C19" s="6" t="s">
        <v>58</v>
      </c>
      <c r="D19" s="6" t="s">
        <v>97</v>
      </c>
      <c r="E19" s="10" t="str">
        <f aca="false">INDEX(Dim_Factory!$C$4:$C$15,MATCH(C19,Dim_Factory!$A$4:$A$15,0))</f>
        <v>S</v>
      </c>
      <c r="F19" s="10" t="str">
        <f aca="false">INDEX(Dim_Stream!$D$4:$D$10,MATCH(D19,Dim_Stream!$A$4:$A$10,0))</f>
        <v>105</v>
      </c>
      <c r="G19" s="11" t="n">
        <v>9.2</v>
      </c>
      <c r="H19" s="11" t="n">
        <v>5</v>
      </c>
      <c r="I19" s="12" t="n">
        <f aca="false">G19-H19</f>
        <v>4.2</v>
      </c>
      <c r="J19" s="8" t="n">
        <v>4070</v>
      </c>
      <c r="K19" s="8" t="n">
        <v>1303</v>
      </c>
      <c r="L19" s="7" t="n">
        <v>0</v>
      </c>
    </row>
    <row r="20" customFormat="false" ht="15" hidden="false" customHeight="false" outlineLevel="0" collapsed="false">
      <c r="A20" s="6" t="n">
        <v>3</v>
      </c>
      <c r="B20" s="6" t="s">
        <v>131</v>
      </c>
      <c r="C20" s="6" t="s">
        <v>58</v>
      </c>
      <c r="D20" s="6" t="s">
        <v>94</v>
      </c>
      <c r="E20" s="10" t="str">
        <f aca="false">INDEX(Dim_Factory!$C$4:$C$15,MATCH(C20,Dim_Factory!$A$4:$A$15,0))</f>
        <v>S</v>
      </c>
      <c r="F20" s="10" t="str">
        <f aca="false">INDEX(Dim_Stream!$D$4:$D$10,MATCH(D20,Dim_Stream!$A$4:$A$10,0))</f>
        <v>105</v>
      </c>
      <c r="G20" s="11" t="n">
        <v>9.2</v>
      </c>
      <c r="H20" s="11" t="n">
        <v>5</v>
      </c>
      <c r="I20" s="12" t="n">
        <f aca="false">G20-H20</f>
        <v>4.2</v>
      </c>
      <c r="J20" s="8" t="n">
        <v>5650</v>
      </c>
      <c r="K20" s="8" t="n">
        <v>2172</v>
      </c>
      <c r="L20" s="7" t="n">
        <v>0</v>
      </c>
    </row>
    <row r="21" customFormat="false" ht="15" hidden="false" customHeight="false" outlineLevel="0" collapsed="false">
      <c r="A21" s="6" t="n">
        <v>4</v>
      </c>
      <c r="B21" s="6" t="s">
        <v>132</v>
      </c>
      <c r="C21" s="6" t="s">
        <v>41</v>
      </c>
      <c r="D21" s="6" t="s">
        <v>89</v>
      </c>
      <c r="E21" s="10" t="str">
        <f aca="false">INDEX(Dim_Factory!$C$4:$C$15,MATCH(C21,Dim_Factory!$A$4:$A$15,0))</f>
        <v>M</v>
      </c>
      <c r="F21" s="10" t="str">
        <f aca="false">INDEX(Dim_Stream!$D$4:$D$10,MATCH(D21,Dim_Stream!$A$4:$A$10,0))</f>
        <v>105</v>
      </c>
      <c r="G21" s="11" t="n">
        <v>16.6</v>
      </c>
      <c r="H21" s="11" t="n">
        <v>10</v>
      </c>
      <c r="I21" s="12" t="n">
        <f aca="false">G21-H21</f>
        <v>6.6</v>
      </c>
      <c r="J21" s="8" t="n">
        <v>9610</v>
      </c>
      <c r="K21" s="8" t="n">
        <v>3700</v>
      </c>
      <c r="L21" s="7" t="n">
        <v>1</v>
      </c>
    </row>
    <row r="22" customFormat="false" ht="15" hidden="false" customHeight="false" outlineLevel="0" collapsed="false">
      <c r="A22" s="6" t="n">
        <v>4</v>
      </c>
      <c r="B22" s="6" t="s">
        <v>132</v>
      </c>
      <c r="C22" s="6" t="s">
        <v>41</v>
      </c>
      <c r="D22" s="6" t="s">
        <v>115</v>
      </c>
      <c r="E22" s="10" t="str">
        <f aca="false">INDEX(Dim_Factory!$C$4:$C$15,MATCH(C22,Dim_Factory!$A$4:$A$15,0))</f>
        <v>M</v>
      </c>
      <c r="F22" s="10" t="str">
        <f aca="false">INDEX(Dim_Stream!$D$4:$D$10,MATCH(D22,Dim_Stream!$A$4:$A$10,0))</f>
        <v>101</v>
      </c>
      <c r="G22" s="11" t="n">
        <v>7.5</v>
      </c>
      <c r="H22" s="11" t="n">
        <v>0</v>
      </c>
      <c r="I22" s="12" t="n">
        <f aca="false">G22-H22</f>
        <v>7.5</v>
      </c>
      <c r="J22" s="8" t="n">
        <v>0</v>
      </c>
      <c r="K22" s="8" t="n">
        <v>0</v>
      </c>
      <c r="L22" s="7" t="n">
        <v>0</v>
      </c>
    </row>
    <row r="23" customFormat="false" ht="15" hidden="false" customHeight="false" outlineLevel="0" collapsed="false">
      <c r="A23" s="6" t="n">
        <v>4</v>
      </c>
      <c r="B23" s="6" t="s">
        <v>132</v>
      </c>
      <c r="C23" s="6" t="s">
        <v>47</v>
      </c>
      <c r="D23" s="6" t="s">
        <v>94</v>
      </c>
      <c r="E23" s="10" t="str">
        <f aca="false">INDEX(Dim_Factory!$C$4:$C$15,MATCH(C23,Dim_Factory!$A$4:$A$15,0))</f>
        <v>S</v>
      </c>
      <c r="F23" s="10" t="str">
        <f aca="false">INDEX(Dim_Stream!$D$4:$D$10,MATCH(D23,Dim_Stream!$A$4:$A$10,0))</f>
        <v>105</v>
      </c>
      <c r="G23" s="11" t="n">
        <v>10</v>
      </c>
      <c r="H23" s="11" t="n">
        <v>6</v>
      </c>
      <c r="I23" s="12" t="n">
        <f aca="false">G23-H23</f>
        <v>4</v>
      </c>
      <c r="J23" s="8" t="n">
        <v>8010</v>
      </c>
      <c r="K23" s="8" t="n">
        <v>2775</v>
      </c>
      <c r="L23" s="7" t="n">
        <v>1</v>
      </c>
    </row>
    <row r="24" customFormat="false" ht="15" hidden="false" customHeight="false" outlineLevel="0" collapsed="false">
      <c r="A24" s="6" t="n">
        <v>4</v>
      </c>
      <c r="B24" s="6" t="s">
        <v>132</v>
      </c>
      <c r="C24" s="6" t="s">
        <v>52</v>
      </c>
      <c r="D24" s="6" t="s">
        <v>101</v>
      </c>
      <c r="E24" s="10" t="str">
        <f aca="false">INDEX(Dim_Factory!$C$4:$C$15,MATCH(C24,Dim_Factory!$A$4:$A$15,0))</f>
        <v>S</v>
      </c>
      <c r="F24" s="10" t="str">
        <f aca="false">INDEX(Dim_Stream!$D$4:$D$10,MATCH(D24,Dim_Stream!$A$4:$A$10,0))</f>
        <v>105</v>
      </c>
      <c r="G24" s="11" t="n">
        <v>6.6</v>
      </c>
      <c r="H24" s="11" t="n">
        <v>4</v>
      </c>
      <c r="I24" s="12" t="n">
        <f aca="false">G24-H24</f>
        <v>2.6</v>
      </c>
      <c r="J24" s="8" t="n">
        <v>1920</v>
      </c>
      <c r="K24" s="8" t="n">
        <v>740</v>
      </c>
      <c r="L24" s="7" t="n">
        <v>0</v>
      </c>
    </row>
    <row r="25" customFormat="false" ht="15" hidden="false" customHeight="false" outlineLevel="0" collapsed="false">
      <c r="A25" s="6" t="n">
        <v>4</v>
      </c>
      <c r="B25" s="6" t="s">
        <v>132</v>
      </c>
      <c r="C25" s="6" t="s">
        <v>52</v>
      </c>
      <c r="D25" s="6" t="s">
        <v>109</v>
      </c>
      <c r="E25" s="10" t="str">
        <f aca="false">INDEX(Dim_Factory!$C$4:$C$15,MATCH(C25,Dim_Factory!$A$4:$A$15,0))</f>
        <v>S</v>
      </c>
      <c r="F25" s="10" t="str">
        <f aca="false">INDEX(Dim_Stream!$D$4:$D$10,MATCH(D25,Dim_Stream!$A$4:$A$10,0))</f>
        <v>106</v>
      </c>
      <c r="G25" s="11" t="n">
        <v>0.5</v>
      </c>
      <c r="H25" s="11" t="n">
        <v>0</v>
      </c>
      <c r="I25" s="12" t="n">
        <f aca="false">G25-H25</f>
        <v>0.5</v>
      </c>
      <c r="J25" s="8" t="n">
        <v>0</v>
      </c>
      <c r="K25" s="8" t="n">
        <v>0</v>
      </c>
      <c r="L25" s="7" t="n">
        <v>0</v>
      </c>
    </row>
    <row r="26" customFormat="false" ht="15" hidden="false" customHeight="false" outlineLevel="0" collapsed="false">
      <c r="A26" s="6" t="n">
        <v>4</v>
      </c>
      <c r="B26" s="6" t="s">
        <v>132</v>
      </c>
      <c r="C26" s="6" t="s">
        <v>55</v>
      </c>
      <c r="D26" s="6" t="s">
        <v>89</v>
      </c>
      <c r="E26" s="10" t="str">
        <f aca="false">INDEX(Dim_Factory!$C$4:$C$15,MATCH(C26,Dim_Factory!$A$4:$A$15,0))</f>
        <v>M</v>
      </c>
      <c r="F26" s="10" t="str">
        <f aca="false">INDEX(Dim_Stream!$D$4:$D$10,MATCH(D26,Dim_Stream!$A$4:$A$10,0))</f>
        <v>105</v>
      </c>
      <c r="G26" s="11" t="n">
        <v>16.6</v>
      </c>
      <c r="H26" s="11" t="n">
        <v>10</v>
      </c>
      <c r="I26" s="12" t="n">
        <f aca="false">G26-H26</f>
        <v>6.6</v>
      </c>
      <c r="J26" s="8" t="n">
        <v>9610</v>
      </c>
      <c r="K26" s="8" t="n">
        <v>3700</v>
      </c>
      <c r="L26" s="7" t="n">
        <v>1</v>
      </c>
    </row>
    <row r="27" customFormat="false" ht="15" hidden="false" customHeight="false" outlineLevel="0" collapsed="false">
      <c r="A27" s="6" t="n">
        <v>4</v>
      </c>
      <c r="B27" s="6" t="s">
        <v>132</v>
      </c>
      <c r="C27" s="6" t="s">
        <v>55</v>
      </c>
      <c r="D27" s="6" t="s">
        <v>109</v>
      </c>
      <c r="E27" s="10" t="str">
        <f aca="false">INDEX(Dim_Factory!$C$4:$C$15,MATCH(C27,Dim_Factory!$A$4:$A$15,0))</f>
        <v>M</v>
      </c>
      <c r="F27" s="10" t="str">
        <f aca="false">INDEX(Dim_Stream!$D$4:$D$10,MATCH(D27,Dim_Stream!$A$4:$A$10,0))</f>
        <v>106</v>
      </c>
      <c r="G27" s="11" t="n">
        <v>0.5</v>
      </c>
      <c r="H27" s="11" t="n">
        <v>0</v>
      </c>
      <c r="I27" s="12" t="n">
        <f aca="false">G27-H27</f>
        <v>0.5</v>
      </c>
      <c r="J27" s="8" t="n">
        <v>0</v>
      </c>
      <c r="K27" s="8" t="n">
        <v>0</v>
      </c>
      <c r="L27" s="7" t="n">
        <v>0</v>
      </c>
    </row>
    <row r="28" customFormat="false" ht="15" hidden="false" customHeight="false" outlineLevel="0" collapsed="false">
      <c r="A28" s="6" t="n">
        <v>4</v>
      </c>
      <c r="B28" s="6" t="s">
        <v>132</v>
      </c>
      <c r="C28" s="6" t="s">
        <v>58</v>
      </c>
      <c r="D28" s="6" t="s">
        <v>97</v>
      </c>
      <c r="E28" s="10" t="str">
        <f aca="false">INDEX(Dim_Factory!$C$4:$C$15,MATCH(C28,Dim_Factory!$A$4:$A$15,0))</f>
        <v>S</v>
      </c>
      <c r="F28" s="10" t="str">
        <f aca="false">INDEX(Dim_Stream!$D$4:$D$10,MATCH(D28,Dim_Stream!$A$4:$A$10,0))</f>
        <v>105</v>
      </c>
      <c r="G28" s="11" t="n">
        <v>2.5</v>
      </c>
      <c r="H28" s="11" t="n">
        <v>1.5</v>
      </c>
      <c r="I28" s="12" t="n">
        <f aca="false">G28-H28</f>
        <v>1</v>
      </c>
      <c r="J28" s="8" t="n">
        <v>1440</v>
      </c>
      <c r="K28" s="8" t="n">
        <v>416</v>
      </c>
      <c r="L28" s="7" t="n">
        <v>0</v>
      </c>
    </row>
    <row r="29" customFormat="false" ht="15" hidden="false" customHeight="false" outlineLevel="0" collapsed="false">
      <c r="A29" s="6" t="n">
        <v>4</v>
      </c>
      <c r="B29" s="6" t="s">
        <v>132</v>
      </c>
      <c r="C29" s="6" t="s">
        <v>58</v>
      </c>
      <c r="D29" s="6" t="s">
        <v>94</v>
      </c>
      <c r="E29" s="10" t="str">
        <f aca="false">INDEX(Dim_Factory!$C$4:$C$15,MATCH(C29,Dim_Factory!$A$4:$A$15,0))</f>
        <v>S</v>
      </c>
      <c r="F29" s="10" t="str">
        <f aca="false">INDEX(Dim_Stream!$D$4:$D$10,MATCH(D29,Dim_Stream!$A$4:$A$10,0))</f>
        <v>105</v>
      </c>
      <c r="G29" s="11" t="n">
        <v>10</v>
      </c>
      <c r="H29" s="11" t="n">
        <v>6</v>
      </c>
      <c r="I29" s="12" t="n">
        <f aca="false">G29-H29</f>
        <v>4</v>
      </c>
      <c r="J29" s="8" t="n">
        <v>8010</v>
      </c>
      <c r="K29" s="8" t="n">
        <v>2775</v>
      </c>
      <c r="L29" s="7" t="n">
        <v>1</v>
      </c>
    </row>
    <row r="30" customFormat="false" ht="15" hidden="false" customHeight="false" outlineLevel="0" collapsed="false">
      <c r="A30" s="6" t="n">
        <v>4</v>
      </c>
      <c r="B30" s="6" t="s">
        <v>132</v>
      </c>
      <c r="C30" s="6" t="s">
        <v>62</v>
      </c>
      <c r="D30" s="6" t="s">
        <v>105</v>
      </c>
      <c r="E30" s="10" t="str">
        <f aca="false">INDEX(Dim_Factory!$C$4:$C$15,MATCH(C30,Dim_Factory!$A$4:$A$15,0))</f>
        <v>M</v>
      </c>
      <c r="F30" s="10" t="str">
        <f aca="false">INDEX(Dim_Stream!$D$4:$D$10,MATCH(D30,Dim_Stream!$A$4:$A$10,0))</f>
        <v>105</v>
      </c>
      <c r="G30" s="11" t="n">
        <v>9</v>
      </c>
      <c r="H30" s="11" t="n">
        <v>0</v>
      </c>
      <c r="I30" s="12" t="n">
        <f aca="false">G30-H30</f>
        <v>9</v>
      </c>
      <c r="J30" s="8" t="n">
        <v>0</v>
      </c>
      <c r="K30" s="8" t="n">
        <v>0</v>
      </c>
      <c r="L30" s="7" t="n">
        <v>0</v>
      </c>
    </row>
    <row r="31" customFormat="false" ht="15" hidden="false" customHeight="false" outlineLevel="0" collapsed="false">
      <c r="A31" s="6" t="n">
        <v>4</v>
      </c>
      <c r="B31" s="6" t="s">
        <v>132</v>
      </c>
      <c r="C31" s="6" t="s">
        <v>62</v>
      </c>
      <c r="D31" s="6" t="s">
        <v>97</v>
      </c>
      <c r="E31" s="10" t="str">
        <f aca="false">INDEX(Dim_Factory!$C$4:$C$15,MATCH(C31,Dim_Factory!$A$4:$A$15,0))</f>
        <v>M</v>
      </c>
      <c r="F31" s="10" t="str">
        <f aca="false">INDEX(Dim_Stream!$D$4:$D$10,MATCH(D31,Dim_Stream!$A$4:$A$10,0))</f>
        <v>105</v>
      </c>
      <c r="G31" s="11" t="n">
        <v>4.2</v>
      </c>
      <c r="H31" s="11" t="n">
        <v>2.5</v>
      </c>
      <c r="I31" s="12" t="n">
        <f aca="false">G31-H31</f>
        <v>1.7</v>
      </c>
      <c r="J31" s="8" t="n">
        <v>2400</v>
      </c>
      <c r="K31" s="8" t="n">
        <v>694</v>
      </c>
      <c r="L31" s="7" t="n">
        <v>0</v>
      </c>
    </row>
    <row r="32" customFormat="false" ht="15" hidden="false" customHeight="false" outlineLevel="0" collapsed="false">
      <c r="A32" s="6" t="n">
        <v>5</v>
      </c>
      <c r="B32" s="6" t="s">
        <v>133</v>
      </c>
      <c r="C32" s="6" t="s">
        <v>41</v>
      </c>
      <c r="D32" s="6" t="s">
        <v>89</v>
      </c>
      <c r="E32" s="10" t="str">
        <f aca="false">INDEX(Dim_Factory!$C$4:$C$15,MATCH(C32,Dim_Factory!$A$4:$A$15,0))</f>
        <v>M</v>
      </c>
      <c r="F32" s="10" t="str">
        <f aca="false">INDEX(Dim_Stream!$D$4:$D$10,MATCH(D32,Dim_Stream!$A$4:$A$10,0))</f>
        <v>105</v>
      </c>
      <c r="G32" s="11" t="n">
        <v>9.9</v>
      </c>
      <c r="H32" s="11" t="n">
        <v>6.3</v>
      </c>
      <c r="I32" s="12" t="n">
        <f aca="false">G32-H32</f>
        <v>3.6</v>
      </c>
      <c r="J32" s="8" t="n">
        <v>7170</v>
      </c>
      <c r="K32" s="8" t="n">
        <v>2467</v>
      </c>
      <c r="L32" s="7" t="n">
        <v>1</v>
      </c>
    </row>
    <row r="33" customFormat="false" ht="15" hidden="false" customHeight="false" outlineLevel="0" collapsed="false">
      <c r="A33" s="6" t="n">
        <v>5</v>
      </c>
      <c r="B33" s="6" t="s">
        <v>133</v>
      </c>
      <c r="C33" s="6" t="s">
        <v>41</v>
      </c>
      <c r="D33" s="6" t="s">
        <v>115</v>
      </c>
      <c r="E33" s="10" t="str">
        <f aca="false">INDEX(Dim_Factory!$C$4:$C$15,MATCH(C33,Dim_Factory!$A$4:$A$15,0))</f>
        <v>M</v>
      </c>
      <c r="F33" s="10" t="str">
        <f aca="false">INDEX(Dim_Stream!$D$4:$D$10,MATCH(D33,Dim_Stream!$A$4:$A$10,0))</f>
        <v>101</v>
      </c>
      <c r="G33" s="11" t="n">
        <v>6.5</v>
      </c>
      <c r="H33" s="11" t="n">
        <v>0</v>
      </c>
      <c r="I33" s="12" t="n">
        <f aca="false">G33-H33</f>
        <v>6.5</v>
      </c>
      <c r="J33" s="8" t="n">
        <v>0</v>
      </c>
      <c r="K33" s="8" t="n">
        <v>0</v>
      </c>
      <c r="L33" s="7" t="n">
        <v>0</v>
      </c>
    </row>
    <row r="34" customFormat="false" ht="15" hidden="false" customHeight="false" outlineLevel="0" collapsed="false">
      <c r="A34" s="6" t="n">
        <v>5</v>
      </c>
      <c r="B34" s="6" t="s">
        <v>133</v>
      </c>
      <c r="C34" s="6" t="s">
        <v>47</v>
      </c>
      <c r="D34" s="6" t="s">
        <v>94</v>
      </c>
      <c r="E34" s="10" t="str">
        <f aca="false">INDEX(Dim_Factory!$C$4:$C$15,MATCH(C34,Dim_Factory!$A$4:$A$15,0))</f>
        <v>S</v>
      </c>
      <c r="F34" s="10" t="str">
        <f aca="false">INDEX(Dim_Stream!$D$4:$D$10,MATCH(D34,Dim_Stream!$A$4:$A$10,0))</f>
        <v>105</v>
      </c>
      <c r="G34" s="11" t="n">
        <v>5</v>
      </c>
      <c r="H34" s="11" t="n">
        <v>3.2</v>
      </c>
      <c r="I34" s="12" t="n">
        <f aca="false">G34-H34</f>
        <v>1.8</v>
      </c>
      <c r="J34" s="8" t="n">
        <v>5060</v>
      </c>
      <c r="K34" s="8" t="n">
        <v>1566</v>
      </c>
      <c r="L34" s="7" t="n">
        <v>0</v>
      </c>
    </row>
    <row r="35" customFormat="false" ht="15" hidden="false" customHeight="false" outlineLevel="0" collapsed="false">
      <c r="A35" s="6" t="n">
        <v>5</v>
      </c>
      <c r="B35" s="6" t="s">
        <v>133</v>
      </c>
      <c r="C35" s="6" t="s">
        <v>52</v>
      </c>
      <c r="D35" s="6" t="s">
        <v>101</v>
      </c>
      <c r="E35" s="10" t="str">
        <f aca="false">INDEX(Dim_Factory!$C$4:$C$15,MATCH(C35,Dim_Factory!$A$4:$A$15,0))</f>
        <v>S</v>
      </c>
      <c r="F35" s="10" t="str">
        <f aca="false">INDEX(Dim_Stream!$D$4:$D$10,MATCH(D35,Dim_Stream!$A$4:$A$10,0))</f>
        <v>105</v>
      </c>
      <c r="G35" s="11" t="n">
        <v>14.1</v>
      </c>
      <c r="H35" s="11" t="n">
        <v>9</v>
      </c>
      <c r="I35" s="12" t="n">
        <f aca="false">G35-H35</f>
        <v>5.1</v>
      </c>
      <c r="J35" s="8" t="n">
        <v>5120</v>
      </c>
      <c r="K35" s="8" t="n">
        <v>1762</v>
      </c>
      <c r="L35" s="7" t="n">
        <v>1</v>
      </c>
    </row>
    <row r="36" customFormat="false" ht="15" hidden="false" customHeight="false" outlineLevel="0" collapsed="false">
      <c r="A36" s="6" t="n">
        <v>5</v>
      </c>
      <c r="B36" s="6" t="s">
        <v>133</v>
      </c>
      <c r="C36" s="6" t="s">
        <v>52</v>
      </c>
      <c r="D36" s="6" t="s">
        <v>109</v>
      </c>
      <c r="E36" s="10" t="str">
        <f aca="false">INDEX(Dim_Factory!$C$4:$C$15,MATCH(C36,Dim_Factory!$A$4:$A$15,0))</f>
        <v>S</v>
      </c>
      <c r="F36" s="10" t="str">
        <f aca="false">INDEX(Dim_Stream!$D$4:$D$10,MATCH(D36,Dim_Stream!$A$4:$A$10,0))</f>
        <v>106</v>
      </c>
      <c r="G36" s="11" t="n">
        <v>0.5</v>
      </c>
      <c r="H36" s="11" t="n">
        <v>0</v>
      </c>
      <c r="I36" s="12" t="n">
        <f aca="false">G36-H36</f>
        <v>0.5</v>
      </c>
      <c r="J36" s="8" t="n">
        <v>0</v>
      </c>
      <c r="K36" s="8" t="n">
        <v>0</v>
      </c>
      <c r="L36" s="7" t="n">
        <v>0</v>
      </c>
    </row>
    <row r="37" customFormat="false" ht="15" hidden="false" customHeight="false" outlineLevel="0" collapsed="false">
      <c r="A37" s="6" t="n">
        <v>5</v>
      </c>
      <c r="B37" s="6" t="s">
        <v>133</v>
      </c>
      <c r="C37" s="6" t="s">
        <v>55</v>
      </c>
      <c r="D37" s="6" t="s">
        <v>89</v>
      </c>
      <c r="E37" s="10" t="str">
        <f aca="false">INDEX(Dim_Factory!$C$4:$C$15,MATCH(C37,Dim_Factory!$A$4:$A$15,0))</f>
        <v>M</v>
      </c>
      <c r="F37" s="10" t="str">
        <f aca="false">INDEX(Dim_Stream!$D$4:$D$10,MATCH(D37,Dim_Stream!$A$4:$A$10,0))</f>
        <v>105</v>
      </c>
      <c r="G37" s="11" t="n">
        <v>9.9</v>
      </c>
      <c r="H37" s="11" t="n">
        <v>6.3</v>
      </c>
      <c r="I37" s="12" t="n">
        <f aca="false">G37-H37</f>
        <v>3.6</v>
      </c>
      <c r="J37" s="8" t="n">
        <v>7170</v>
      </c>
      <c r="K37" s="8" t="n">
        <v>2467</v>
      </c>
      <c r="L37" s="7" t="n">
        <v>0</v>
      </c>
    </row>
    <row r="38" customFormat="false" ht="15" hidden="false" customHeight="false" outlineLevel="0" collapsed="false">
      <c r="A38" s="6" t="n">
        <v>5</v>
      </c>
      <c r="B38" s="6" t="s">
        <v>133</v>
      </c>
      <c r="C38" s="6" t="s">
        <v>55</v>
      </c>
      <c r="D38" s="6" t="s">
        <v>109</v>
      </c>
      <c r="E38" s="10" t="str">
        <f aca="false">INDEX(Dim_Factory!$C$4:$C$15,MATCH(C38,Dim_Factory!$A$4:$A$15,0))</f>
        <v>M</v>
      </c>
      <c r="F38" s="10" t="str">
        <f aca="false">INDEX(Dim_Stream!$D$4:$D$10,MATCH(D38,Dim_Stream!$A$4:$A$10,0))</f>
        <v>106</v>
      </c>
      <c r="G38" s="11" t="n">
        <v>0.5</v>
      </c>
      <c r="H38" s="11" t="n">
        <v>0</v>
      </c>
      <c r="I38" s="12" t="n">
        <f aca="false">G38-H38</f>
        <v>0.5</v>
      </c>
      <c r="J38" s="8" t="n">
        <v>0</v>
      </c>
      <c r="K38" s="8" t="n">
        <v>0</v>
      </c>
      <c r="L38" s="7" t="n">
        <v>0</v>
      </c>
    </row>
    <row r="39" customFormat="false" ht="15" hidden="false" customHeight="false" outlineLevel="0" collapsed="false">
      <c r="A39" s="6" t="n">
        <v>5</v>
      </c>
      <c r="B39" s="6" t="s">
        <v>133</v>
      </c>
      <c r="C39" s="6" t="s">
        <v>58</v>
      </c>
      <c r="D39" s="6" t="s">
        <v>97</v>
      </c>
      <c r="E39" s="10" t="str">
        <f aca="false">INDEX(Dim_Factory!$C$4:$C$15,MATCH(C39,Dim_Factory!$A$4:$A$15,0))</f>
        <v>S</v>
      </c>
      <c r="F39" s="10" t="str">
        <f aca="false">INDEX(Dim_Stream!$D$4:$D$10,MATCH(D39,Dim_Stream!$A$4:$A$10,0))</f>
        <v>105</v>
      </c>
      <c r="G39" s="11" t="n">
        <v>2.2</v>
      </c>
      <c r="H39" s="11" t="n">
        <v>1.4</v>
      </c>
      <c r="I39" s="12" t="n">
        <f aca="false">G39-H39</f>
        <v>0.8</v>
      </c>
      <c r="J39" s="8" t="n">
        <v>1590</v>
      </c>
      <c r="K39" s="8" t="n">
        <v>411</v>
      </c>
      <c r="L39" s="7" t="n">
        <v>0</v>
      </c>
    </row>
    <row r="40" customFormat="false" ht="15" hidden="false" customHeight="false" outlineLevel="0" collapsed="false">
      <c r="A40" s="6" t="n">
        <v>5</v>
      </c>
      <c r="B40" s="6" t="s">
        <v>133</v>
      </c>
      <c r="C40" s="6" t="s">
        <v>58</v>
      </c>
      <c r="D40" s="6" t="s">
        <v>94</v>
      </c>
      <c r="E40" s="10" t="str">
        <f aca="false">INDEX(Dim_Factory!$C$4:$C$15,MATCH(C40,Dim_Factory!$A$4:$A$15,0))</f>
        <v>S</v>
      </c>
      <c r="F40" s="10" t="str">
        <f aca="false">INDEX(Dim_Stream!$D$4:$D$10,MATCH(D40,Dim_Stream!$A$4:$A$10,0))</f>
        <v>105</v>
      </c>
      <c r="G40" s="11" t="n">
        <v>5</v>
      </c>
      <c r="H40" s="11" t="n">
        <v>3.2</v>
      </c>
      <c r="I40" s="12" t="n">
        <f aca="false">G40-H40</f>
        <v>1.8</v>
      </c>
      <c r="J40" s="8" t="n">
        <v>5060</v>
      </c>
      <c r="K40" s="8" t="n">
        <v>1566</v>
      </c>
      <c r="L40" s="7" t="n">
        <v>0</v>
      </c>
    </row>
    <row r="41" customFormat="false" ht="15" hidden="false" customHeight="false" outlineLevel="0" collapsed="false">
      <c r="A41" s="6" t="n">
        <v>5</v>
      </c>
      <c r="B41" s="6" t="s">
        <v>133</v>
      </c>
      <c r="C41" s="6" t="s">
        <v>62</v>
      </c>
      <c r="D41" s="6" t="s">
        <v>105</v>
      </c>
      <c r="E41" s="10" t="str">
        <f aca="false">INDEX(Dim_Factory!$C$4:$C$15,MATCH(C41,Dim_Factory!$A$4:$A$15,0))</f>
        <v>M</v>
      </c>
      <c r="F41" s="10" t="str">
        <f aca="false">INDEX(Dim_Stream!$D$4:$D$10,MATCH(D41,Dim_Stream!$A$4:$A$10,0))</f>
        <v>105</v>
      </c>
      <c r="G41" s="11" t="n">
        <v>7.7</v>
      </c>
      <c r="H41" s="11" t="n">
        <v>0</v>
      </c>
      <c r="I41" s="12" t="n">
        <f aca="false">G41-H41</f>
        <v>7.7</v>
      </c>
      <c r="J41" s="8" t="n">
        <v>0</v>
      </c>
      <c r="K41" s="8" t="n">
        <v>0</v>
      </c>
      <c r="L41" s="7" t="n">
        <v>0</v>
      </c>
    </row>
    <row r="42" customFormat="false" ht="15" hidden="false" customHeight="false" outlineLevel="0" collapsed="false">
      <c r="A42" s="6" t="n">
        <v>5</v>
      </c>
      <c r="B42" s="6" t="s">
        <v>133</v>
      </c>
      <c r="C42" s="6" t="s">
        <v>62</v>
      </c>
      <c r="D42" s="6" t="s">
        <v>97</v>
      </c>
      <c r="E42" s="10" t="str">
        <f aca="false">INDEX(Dim_Factory!$C$4:$C$15,MATCH(C42,Dim_Factory!$A$4:$A$15,0))</f>
        <v>M</v>
      </c>
      <c r="F42" s="10" t="str">
        <f aca="false">INDEX(Dim_Stream!$D$4:$D$10,MATCH(D42,Dim_Stream!$A$4:$A$10,0))</f>
        <v>105</v>
      </c>
      <c r="G42" s="11" t="n">
        <v>3.4</v>
      </c>
      <c r="H42" s="11" t="n">
        <v>2.2</v>
      </c>
      <c r="I42" s="12" t="n">
        <f aca="false">G42-H42</f>
        <v>1.2</v>
      </c>
      <c r="J42" s="8" t="n">
        <v>2500</v>
      </c>
      <c r="K42" s="8" t="n">
        <v>646</v>
      </c>
      <c r="L42" s="7" t="n">
        <v>0</v>
      </c>
    </row>
    <row r="43" customFormat="false" ht="15" hidden="false" customHeight="false" outlineLevel="0" collapsed="false">
      <c r="A43" s="6" t="n">
        <v>5</v>
      </c>
      <c r="B43" s="6" t="s">
        <v>133</v>
      </c>
      <c r="C43" s="6" t="s">
        <v>65</v>
      </c>
      <c r="D43" s="6" t="s">
        <v>89</v>
      </c>
      <c r="E43" s="10" t="str">
        <f aca="false">INDEX(Dim_Factory!$C$4:$C$15,MATCH(C43,Dim_Factory!$A$4:$A$15,0))</f>
        <v>L</v>
      </c>
      <c r="F43" s="10" t="str">
        <f aca="false">INDEX(Dim_Stream!$D$4:$D$10,MATCH(D43,Dim_Stream!$A$4:$A$10,0))</f>
        <v>105</v>
      </c>
      <c r="G43" s="11" t="n">
        <v>14.7</v>
      </c>
      <c r="H43" s="11" t="n">
        <v>9.4</v>
      </c>
      <c r="I43" s="12" t="n">
        <f aca="false">G43-H43</f>
        <v>5.3</v>
      </c>
      <c r="J43" s="8" t="n">
        <v>10700</v>
      </c>
      <c r="K43" s="8" t="n">
        <v>3681</v>
      </c>
      <c r="L43" s="7" t="n">
        <v>1</v>
      </c>
    </row>
    <row r="44" customFormat="false" ht="15" hidden="false" customHeight="false" outlineLevel="0" collapsed="false">
      <c r="A44" s="6" t="n">
        <v>5</v>
      </c>
      <c r="B44" s="6" t="s">
        <v>133</v>
      </c>
      <c r="C44" s="6" t="s">
        <v>65</v>
      </c>
      <c r="D44" s="6" t="s">
        <v>94</v>
      </c>
      <c r="E44" s="10" t="str">
        <f aca="false">INDEX(Dim_Factory!$C$4:$C$15,MATCH(C44,Dim_Factory!$A$4:$A$15,0))</f>
        <v>L</v>
      </c>
      <c r="F44" s="10" t="str">
        <f aca="false">INDEX(Dim_Stream!$D$4:$D$10,MATCH(D44,Dim_Stream!$A$4:$A$10,0))</f>
        <v>105</v>
      </c>
      <c r="G44" s="11" t="n">
        <v>11.9</v>
      </c>
      <c r="H44" s="11" t="n">
        <v>7.6</v>
      </c>
      <c r="I44" s="12" t="n">
        <f aca="false">G44-H44</f>
        <v>4.3</v>
      </c>
      <c r="J44" s="8" t="n">
        <v>12040</v>
      </c>
      <c r="K44" s="8" t="n">
        <v>3723</v>
      </c>
      <c r="L44" s="7" t="n">
        <v>1</v>
      </c>
    </row>
    <row r="45" customFormat="false" ht="15" hidden="false" customHeight="false" outlineLevel="0" collapsed="false">
      <c r="A45" s="6" t="n">
        <v>5</v>
      </c>
      <c r="B45" s="6" t="s">
        <v>133</v>
      </c>
      <c r="C45" s="6" t="s">
        <v>65</v>
      </c>
      <c r="D45" s="6" t="s">
        <v>109</v>
      </c>
      <c r="E45" s="10" t="str">
        <f aca="false">INDEX(Dim_Factory!$C$4:$C$15,MATCH(C45,Dim_Factory!$A$4:$A$15,0))</f>
        <v>L</v>
      </c>
      <c r="F45" s="10" t="str">
        <f aca="false">INDEX(Dim_Stream!$D$4:$D$10,MATCH(D45,Dim_Stream!$A$4:$A$10,0))</f>
        <v>106</v>
      </c>
      <c r="G45" s="11" t="n">
        <v>0.5</v>
      </c>
      <c r="H45" s="11" t="n">
        <v>0</v>
      </c>
      <c r="I45" s="12" t="n">
        <f aca="false">G45-H45</f>
        <v>0.5</v>
      </c>
      <c r="J45" s="8" t="n">
        <v>0</v>
      </c>
      <c r="K45" s="8" t="n">
        <v>0</v>
      </c>
      <c r="L45" s="7" t="n">
        <v>0</v>
      </c>
    </row>
    <row r="46" customFormat="false" ht="15" hidden="false" customHeight="false" outlineLevel="0" collapsed="false">
      <c r="A46" s="6" t="n">
        <v>5</v>
      </c>
      <c r="B46" s="6" t="s">
        <v>133</v>
      </c>
      <c r="C46" s="6" t="s">
        <v>70</v>
      </c>
      <c r="D46" s="6" t="s">
        <v>97</v>
      </c>
      <c r="E46" s="10" t="str">
        <f aca="false">INDEX(Dim_Factory!$C$4:$C$15,MATCH(C46,Dim_Factory!$A$4:$A$15,0))</f>
        <v>S</v>
      </c>
      <c r="F46" s="10" t="str">
        <f aca="false">INDEX(Dim_Stream!$D$4:$D$10,MATCH(D46,Dim_Stream!$A$4:$A$10,0))</f>
        <v>105</v>
      </c>
      <c r="G46" s="11" t="n">
        <v>2.2</v>
      </c>
      <c r="H46" s="11" t="n">
        <v>1.4</v>
      </c>
      <c r="I46" s="12" t="n">
        <f aca="false">G46-H46</f>
        <v>0.8</v>
      </c>
      <c r="J46" s="8" t="n">
        <v>1590</v>
      </c>
      <c r="K46" s="8" t="n">
        <v>411</v>
      </c>
      <c r="L46" s="7" t="n">
        <v>0</v>
      </c>
    </row>
    <row r="47" customFormat="false" ht="15" hidden="false" customHeight="false" outlineLevel="0" collapsed="false">
      <c r="A47" s="6" t="n">
        <v>5</v>
      </c>
      <c r="B47" s="6" t="s">
        <v>133</v>
      </c>
      <c r="C47" s="6" t="s">
        <v>70</v>
      </c>
      <c r="D47" s="6" t="s">
        <v>115</v>
      </c>
      <c r="E47" s="10" t="str">
        <f aca="false">INDEX(Dim_Factory!$C$4:$C$15,MATCH(C47,Dim_Factory!$A$4:$A$15,0))</f>
        <v>S</v>
      </c>
      <c r="F47" s="10" t="str">
        <f aca="false">INDEX(Dim_Stream!$D$4:$D$10,MATCH(D47,Dim_Stream!$A$4:$A$10,0))</f>
        <v>101</v>
      </c>
      <c r="G47" s="11" t="n">
        <v>4</v>
      </c>
      <c r="H47" s="11" t="n">
        <v>0</v>
      </c>
      <c r="I47" s="12" t="n">
        <f aca="false">G47-H47</f>
        <v>4</v>
      </c>
      <c r="J47" s="8" t="n">
        <v>0</v>
      </c>
      <c r="K47" s="8" t="n">
        <v>0</v>
      </c>
      <c r="L47" s="7" t="n">
        <v>0</v>
      </c>
    </row>
    <row r="48" customFormat="false" ht="15" hidden="false" customHeight="false" outlineLevel="0" collapsed="false">
      <c r="A48" s="6" t="n">
        <v>6</v>
      </c>
      <c r="B48" s="6" t="s">
        <v>134</v>
      </c>
      <c r="C48" s="6" t="s">
        <v>41</v>
      </c>
      <c r="D48" s="6" t="s">
        <v>89</v>
      </c>
      <c r="E48" s="10" t="str">
        <f aca="false">INDEX(Dim_Factory!$C$4:$C$15,MATCH(C48,Dim_Factory!$A$4:$A$15,0))</f>
        <v>M</v>
      </c>
      <c r="F48" s="10" t="str">
        <f aca="false">INDEX(Dim_Stream!$D$4:$D$10,MATCH(D48,Dim_Stream!$A$4:$A$10,0))</f>
        <v>105</v>
      </c>
      <c r="G48" s="11" t="n">
        <v>11.9</v>
      </c>
      <c r="H48" s="11" t="n">
        <v>7.4</v>
      </c>
      <c r="I48" s="12" t="n">
        <f aca="false">G48-H48</f>
        <v>4.5</v>
      </c>
      <c r="J48" s="8" t="n">
        <v>8990</v>
      </c>
      <c r="K48" s="8" t="n">
        <v>2936</v>
      </c>
      <c r="L48" s="7" t="n">
        <v>1</v>
      </c>
    </row>
    <row r="49" customFormat="false" ht="15" hidden="false" customHeight="false" outlineLevel="0" collapsed="false">
      <c r="A49" s="6" t="n">
        <v>6</v>
      </c>
      <c r="B49" s="6" t="s">
        <v>134</v>
      </c>
      <c r="C49" s="6" t="s">
        <v>41</v>
      </c>
      <c r="D49" s="6" t="s">
        <v>115</v>
      </c>
      <c r="E49" s="10" t="str">
        <f aca="false">INDEX(Dim_Factory!$C$4:$C$15,MATCH(C49,Dim_Factory!$A$4:$A$15,0))</f>
        <v>M</v>
      </c>
      <c r="F49" s="10" t="str">
        <f aca="false">INDEX(Dim_Stream!$D$4:$D$10,MATCH(D49,Dim_Stream!$A$4:$A$10,0))</f>
        <v>101</v>
      </c>
      <c r="G49" s="11" t="n">
        <v>6.8</v>
      </c>
      <c r="H49" s="11" t="n">
        <v>0</v>
      </c>
      <c r="I49" s="12" t="n">
        <f aca="false">G49-H49</f>
        <v>6.8</v>
      </c>
      <c r="J49" s="8" t="n">
        <v>0</v>
      </c>
      <c r="K49" s="8" t="n">
        <v>0</v>
      </c>
      <c r="L49" s="7" t="n">
        <v>0</v>
      </c>
    </row>
    <row r="50" customFormat="false" ht="15" hidden="false" customHeight="false" outlineLevel="0" collapsed="false">
      <c r="A50" s="6" t="n">
        <v>6</v>
      </c>
      <c r="B50" s="6" t="s">
        <v>134</v>
      </c>
      <c r="C50" s="6" t="s">
        <v>47</v>
      </c>
      <c r="D50" s="6" t="s">
        <v>94</v>
      </c>
      <c r="E50" s="10" t="str">
        <f aca="false">INDEX(Dim_Factory!$C$4:$C$15,MATCH(C50,Dim_Factory!$A$4:$A$15,0))</f>
        <v>S</v>
      </c>
      <c r="F50" s="10" t="str">
        <f aca="false">INDEX(Dim_Stream!$D$4:$D$10,MATCH(D50,Dim_Stream!$A$4:$A$10,0))</f>
        <v>105</v>
      </c>
      <c r="G50" s="11" t="n">
        <v>6.6</v>
      </c>
      <c r="H50" s="11" t="n">
        <v>4.1</v>
      </c>
      <c r="I50" s="12" t="n">
        <f aca="false">G50-H50</f>
        <v>2.5</v>
      </c>
      <c r="J50" s="8" t="n">
        <v>6920</v>
      </c>
      <c r="K50" s="8" t="n">
        <v>2034</v>
      </c>
      <c r="L50" s="7" t="n">
        <v>0</v>
      </c>
    </row>
    <row r="51" customFormat="false" ht="15" hidden="false" customHeight="false" outlineLevel="0" collapsed="false">
      <c r="A51" s="6" t="n">
        <v>6</v>
      </c>
      <c r="B51" s="6" t="s">
        <v>134</v>
      </c>
      <c r="C51" s="6" t="s">
        <v>52</v>
      </c>
      <c r="D51" s="6" t="s">
        <v>101</v>
      </c>
      <c r="E51" s="10" t="str">
        <f aca="false">INDEX(Dim_Factory!$C$4:$C$15,MATCH(C51,Dim_Factory!$A$4:$A$15,0))</f>
        <v>S</v>
      </c>
      <c r="F51" s="10" t="str">
        <f aca="false">INDEX(Dim_Stream!$D$4:$D$10,MATCH(D51,Dim_Stream!$A$4:$A$10,0))</f>
        <v>105</v>
      </c>
      <c r="G51" s="11" t="n">
        <v>8.1</v>
      </c>
      <c r="H51" s="11" t="n">
        <v>5</v>
      </c>
      <c r="I51" s="12" t="n">
        <f aca="false">G51-H51</f>
        <v>3.1</v>
      </c>
      <c r="J51" s="8" t="n">
        <v>3040</v>
      </c>
      <c r="K51" s="8" t="n">
        <v>992</v>
      </c>
      <c r="L51" s="7" t="n">
        <v>0</v>
      </c>
    </row>
    <row r="52" customFormat="false" ht="15" hidden="false" customHeight="false" outlineLevel="0" collapsed="false">
      <c r="A52" s="6" t="n">
        <v>6</v>
      </c>
      <c r="B52" s="6" t="s">
        <v>134</v>
      </c>
      <c r="C52" s="6" t="s">
        <v>52</v>
      </c>
      <c r="D52" s="6" t="s">
        <v>109</v>
      </c>
      <c r="E52" s="10" t="str">
        <f aca="false">INDEX(Dim_Factory!$C$4:$C$15,MATCH(C52,Dim_Factory!$A$4:$A$15,0))</f>
        <v>S</v>
      </c>
      <c r="F52" s="10" t="str">
        <f aca="false">INDEX(Dim_Stream!$D$4:$D$10,MATCH(D52,Dim_Stream!$A$4:$A$10,0))</f>
        <v>106</v>
      </c>
      <c r="G52" s="11" t="n">
        <v>0.5</v>
      </c>
      <c r="H52" s="11" t="n">
        <v>0</v>
      </c>
      <c r="I52" s="12" t="n">
        <f aca="false">G52-H52</f>
        <v>0.5</v>
      </c>
      <c r="J52" s="8" t="n">
        <v>0</v>
      </c>
      <c r="K52" s="8" t="n">
        <v>0</v>
      </c>
      <c r="L52" s="7" t="n">
        <v>0</v>
      </c>
    </row>
    <row r="53" customFormat="false" ht="15" hidden="false" customHeight="false" outlineLevel="0" collapsed="false">
      <c r="A53" s="6" t="n">
        <v>6</v>
      </c>
      <c r="B53" s="6" t="s">
        <v>134</v>
      </c>
      <c r="C53" s="6" t="s">
        <v>55</v>
      </c>
      <c r="D53" s="6" t="s">
        <v>89</v>
      </c>
      <c r="E53" s="10" t="str">
        <f aca="false">INDEX(Dim_Factory!$C$4:$C$15,MATCH(C53,Dim_Factory!$A$4:$A$15,0))</f>
        <v>M</v>
      </c>
      <c r="F53" s="10" t="str">
        <f aca="false">INDEX(Dim_Stream!$D$4:$D$10,MATCH(D53,Dim_Stream!$A$4:$A$10,0))</f>
        <v>105</v>
      </c>
      <c r="G53" s="11" t="n">
        <v>11.9</v>
      </c>
      <c r="H53" s="11" t="n">
        <v>7.4</v>
      </c>
      <c r="I53" s="12" t="n">
        <f aca="false">G53-H53</f>
        <v>4.5</v>
      </c>
      <c r="J53" s="8" t="n">
        <v>8990</v>
      </c>
      <c r="K53" s="8" t="n">
        <v>2936</v>
      </c>
      <c r="L53" s="7" t="n">
        <v>1</v>
      </c>
    </row>
    <row r="54" customFormat="false" ht="15" hidden="false" customHeight="false" outlineLevel="0" collapsed="false">
      <c r="A54" s="6" t="n">
        <v>6</v>
      </c>
      <c r="B54" s="6" t="s">
        <v>134</v>
      </c>
      <c r="C54" s="6" t="s">
        <v>55</v>
      </c>
      <c r="D54" s="6" t="s">
        <v>109</v>
      </c>
      <c r="E54" s="10" t="str">
        <f aca="false">INDEX(Dim_Factory!$C$4:$C$15,MATCH(C54,Dim_Factory!$A$4:$A$15,0))</f>
        <v>M</v>
      </c>
      <c r="F54" s="10" t="str">
        <f aca="false">INDEX(Dim_Stream!$D$4:$D$10,MATCH(D54,Dim_Stream!$A$4:$A$10,0))</f>
        <v>106</v>
      </c>
      <c r="G54" s="11" t="n">
        <v>0.5</v>
      </c>
      <c r="H54" s="11" t="n">
        <v>0</v>
      </c>
      <c r="I54" s="12" t="n">
        <f aca="false">G54-H54</f>
        <v>0.5</v>
      </c>
      <c r="J54" s="8" t="n">
        <v>0</v>
      </c>
      <c r="K54" s="8" t="n">
        <v>0</v>
      </c>
      <c r="L54" s="7" t="n">
        <v>0</v>
      </c>
    </row>
    <row r="55" customFormat="false" ht="15" hidden="false" customHeight="false" outlineLevel="0" collapsed="false">
      <c r="A55" s="6" t="n">
        <v>6</v>
      </c>
      <c r="B55" s="6" t="s">
        <v>134</v>
      </c>
      <c r="C55" s="6" t="s">
        <v>58</v>
      </c>
      <c r="D55" s="6" t="s">
        <v>97</v>
      </c>
      <c r="E55" s="10" t="str">
        <f aca="false">INDEX(Dim_Factory!$C$4:$C$15,MATCH(C55,Dim_Factory!$A$4:$A$15,0))</f>
        <v>S</v>
      </c>
      <c r="F55" s="10" t="str">
        <f aca="false">INDEX(Dim_Stream!$D$4:$D$10,MATCH(D55,Dim_Stream!$A$4:$A$10,0))</f>
        <v>105</v>
      </c>
      <c r="G55" s="11" t="n">
        <v>2.3</v>
      </c>
      <c r="H55" s="11" t="n">
        <v>1.4</v>
      </c>
      <c r="I55" s="12" t="n">
        <f aca="false">G55-H55</f>
        <v>0.9</v>
      </c>
      <c r="J55" s="8" t="n">
        <v>1700</v>
      </c>
      <c r="K55" s="8" t="n">
        <v>417</v>
      </c>
      <c r="L55" s="7" t="n">
        <v>0</v>
      </c>
    </row>
    <row r="56" customFormat="false" ht="15" hidden="false" customHeight="false" outlineLevel="0" collapsed="false">
      <c r="A56" s="6" t="n">
        <v>6</v>
      </c>
      <c r="B56" s="6" t="s">
        <v>134</v>
      </c>
      <c r="C56" s="6" t="s">
        <v>58</v>
      </c>
      <c r="D56" s="6" t="s">
        <v>94</v>
      </c>
      <c r="E56" s="10" t="str">
        <f aca="false">INDEX(Dim_Factory!$C$4:$C$15,MATCH(C56,Dim_Factory!$A$4:$A$15,0))</f>
        <v>S</v>
      </c>
      <c r="F56" s="10" t="str">
        <f aca="false">INDEX(Dim_Stream!$D$4:$D$10,MATCH(D56,Dim_Stream!$A$4:$A$10,0))</f>
        <v>105</v>
      </c>
      <c r="G56" s="11" t="n">
        <v>6.6</v>
      </c>
      <c r="H56" s="11" t="n">
        <v>4.1</v>
      </c>
      <c r="I56" s="12" t="n">
        <f aca="false">G56-H56</f>
        <v>2.5</v>
      </c>
      <c r="J56" s="8" t="n">
        <v>6920</v>
      </c>
      <c r="K56" s="8" t="n">
        <v>2034</v>
      </c>
      <c r="L56" s="7" t="n">
        <v>0</v>
      </c>
    </row>
    <row r="57" customFormat="false" ht="15" hidden="false" customHeight="false" outlineLevel="0" collapsed="false">
      <c r="A57" s="6" t="n">
        <v>6</v>
      </c>
      <c r="B57" s="6" t="s">
        <v>134</v>
      </c>
      <c r="C57" s="6" t="s">
        <v>62</v>
      </c>
      <c r="D57" s="6" t="s">
        <v>105</v>
      </c>
      <c r="E57" s="10" t="str">
        <f aca="false">INDEX(Dim_Factory!$C$4:$C$15,MATCH(C57,Dim_Factory!$A$4:$A$15,0))</f>
        <v>M</v>
      </c>
      <c r="F57" s="10" t="str">
        <f aca="false">INDEX(Dim_Stream!$D$4:$D$10,MATCH(D57,Dim_Stream!$A$4:$A$10,0))</f>
        <v>105</v>
      </c>
      <c r="G57" s="11" t="n">
        <v>9.7</v>
      </c>
      <c r="H57" s="11" t="n">
        <v>6</v>
      </c>
      <c r="I57" s="12" t="n">
        <f aca="false">G57-H57</f>
        <v>3.7</v>
      </c>
      <c r="J57" s="8" t="n">
        <v>4860</v>
      </c>
      <c r="K57" s="8" t="n">
        <v>2182</v>
      </c>
      <c r="L57" s="7" t="n">
        <v>1</v>
      </c>
    </row>
    <row r="58" customFormat="false" ht="15" hidden="false" customHeight="false" outlineLevel="0" collapsed="false">
      <c r="A58" s="6" t="n">
        <v>6</v>
      </c>
      <c r="B58" s="6" t="s">
        <v>134</v>
      </c>
      <c r="C58" s="6" t="s">
        <v>62</v>
      </c>
      <c r="D58" s="6" t="s">
        <v>97</v>
      </c>
      <c r="E58" s="10" t="str">
        <f aca="false">INDEX(Dim_Factory!$C$4:$C$15,MATCH(C58,Dim_Factory!$A$4:$A$15,0))</f>
        <v>M</v>
      </c>
      <c r="F58" s="10" t="str">
        <f aca="false">INDEX(Dim_Stream!$D$4:$D$10,MATCH(D58,Dim_Stream!$A$4:$A$10,0))</f>
        <v>105</v>
      </c>
      <c r="G58" s="11" t="n">
        <v>3.5</v>
      </c>
      <c r="H58" s="11" t="n">
        <v>2.2</v>
      </c>
      <c r="I58" s="12" t="n">
        <f aca="false">G58-H58</f>
        <v>1.3</v>
      </c>
      <c r="J58" s="8" t="n">
        <v>2670</v>
      </c>
      <c r="K58" s="8" t="n">
        <v>655</v>
      </c>
      <c r="L58" s="7" t="n">
        <v>0</v>
      </c>
    </row>
    <row r="59" customFormat="false" ht="15" hidden="false" customHeight="false" outlineLevel="0" collapsed="false">
      <c r="A59" s="6" t="n">
        <v>6</v>
      </c>
      <c r="B59" s="6" t="s">
        <v>134</v>
      </c>
      <c r="C59" s="6" t="s">
        <v>65</v>
      </c>
      <c r="D59" s="6" t="s">
        <v>89</v>
      </c>
      <c r="E59" s="10" t="str">
        <f aca="false">INDEX(Dim_Factory!$C$4:$C$15,MATCH(C59,Dim_Factory!$A$4:$A$15,0))</f>
        <v>L</v>
      </c>
      <c r="F59" s="10" t="str">
        <f aca="false">INDEX(Dim_Stream!$D$4:$D$10,MATCH(D59,Dim_Stream!$A$4:$A$10,0))</f>
        <v>105</v>
      </c>
      <c r="G59" s="11" t="n">
        <v>18</v>
      </c>
      <c r="H59" s="11" t="n">
        <v>11.2</v>
      </c>
      <c r="I59" s="12" t="n">
        <f aca="false">G59-H59</f>
        <v>6.8</v>
      </c>
      <c r="J59" s="8" t="n">
        <v>13610</v>
      </c>
      <c r="K59" s="8" t="n">
        <v>4444</v>
      </c>
      <c r="L59" s="7" t="n">
        <v>1</v>
      </c>
    </row>
    <row r="60" customFormat="false" ht="15" hidden="false" customHeight="false" outlineLevel="0" collapsed="false">
      <c r="A60" s="6" t="n">
        <v>6</v>
      </c>
      <c r="B60" s="6" t="s">
        <v>134</v>
      </c>
      <c r="C60" s="6" t="s">
        <v>65</v>
      </c>
      <c r="D60" s="6" t="s">
        <v>94</v>
      </c>
      <c r="E60" s="10" t="str">
        <f aca="false">INDEX(Dim_Factory!$C$4:$C$15,MATCH(C60,Dim_Factory!$A$4:$A$15,0))</f>
        <v>L</v>
      </c>
      <c r="F60" s="10" t="str">
        <f aca="false">INDEX(Dim_Stream!$D$4:$D$10,MATCH(D60,Dim_Stream!$A$4:$A$10,0))</f>
        <v>105</v>
      </c>
      <c r="G60" s="11" t="n">
        <v>15.8</v>
      </c>
      <c r="H60" s="11" t="n">
        <v>9.8</v>
      </c>
      <c r="I60" s="12" t="n">
        <f aca="false">G60-H60</f>
        <v>6</v>
      </c>
      <c r="J60" s="8" t="n">
        <v>16560</v>
      </c>
      <c r="K60" s="8" t="n">
        <v>4861</v>
      </c>
      <c r="L60" s="7" t="n">
        <v>1</v>
      </c>
    </row>
    <row r="61" customFormat="false" ht="15" hidden="false" customHeight="false" outlineLevel="0" collapsed="false">
      <c r="A61" s="6" t="n">
        <v>6</v>
      </c>
      <c r="B61" s="6" t="s">
        <v>134</v>
      </c>
      <c r="C61" s="6" t="s">
        <v>65</v>
      </c>
      <c r="D61" s="6" t="s">
        <v>109</v>
      </c>
      <c r="E61" s="10" t="str">
        <f aca="false">INDEX(Dim_Factory!$C$4:$C$15,MATCH(C61,Dim_Factory!$A$4:$A$15,0))</f>
        <v>L</v>
      </c>
      <c r="F61" s="10" t="str">
        <f aca="false">INDEX(Dim_Stream!$D$4:$D$10,MATCH(D61,Dim_Stream!$A$4:$A$10,0))</f>
        <v>106</v>
      </c>
      <c r="G61" s="11" t="n">
        <v>0.5</v>
      </c>
      <c r="H61" s="11" t="n">
        <v>0</v>
      </c>
      <c r="I61" s="12" t="n">
        <f aca="false">G61-H61</f>
        <v>0.5</v>
      </c>
      <c r="J61" s="8" t="n">
        <v>0</v>
      </c>
      <c r="K61" s="8" t="n">
        <v>0</v>
      </c>
      <c r="L61" s="7" t="n">
        <v>0</v>
      </c>
    </row>
    <row r="62" customFormat="false" ht="15" hidden="false" customHeight="false" outlineLevel="0" collapsed="false">
      <c r="A62" s="6" t="n">
        <v>6</v>
      </c>
      <c r="B62" s="6" t="s">
        <v>134</v>
      </c>
      <c r="C62" s="6" t="s">
        <v>70</v>
      </c>
      <c r="D62" s="6" t="s">
        <v>97</v>
      </c>
      <c r="E62" s="10" t="str">
        <f aca="false">INDEX(Dim_Factory!$C$4:$C$15,MATCH(C62,Dim_Factory!$A$4:$A$15,0))</f>
        <v>S</v>
      </c>
      <c r="F62" s="10" t="str">
        <f aca="false">INDEX(Dim_Stream!$D$4:$D$10,MATCH(D62,Dim_Stream!$A$4:$A$10,0))</f>
        <v>105</v>
      </c>
      <c r="G62" s="11" t="n">
        <v>2.3</v>
      </c>
      <c r="H62" s="11" t="n">
        <v>1.4</v>
      </c>
      <c r="I62" s="12" t="n">
        <f aca="false">G62-H62</f>
        <v>0.9</v>
      </c>
      <c r="J62" s="8" t="n">
        <v>1700</v>
      </c>
      <c r="K62" s="8" t="n">
        <v>417</v>
      </c>
      <c r="L62" s="7" t="n">
        <v>0</v>
      </c>
    </row>
    <row r="63" customFormat="false" ht="15" hidden="false" customHeight="false" outlineLevel="0" collapsed="false">
      <c r="A63" s="6" t="n">
        <v>6</v>
      </c>
      <c r="B63" s="6" t="s">
        <v>134</v>
      </c>
      <c r="C63" s="6" t="s">
        <v>70</v>
      </c>
      <c r="D63" s="6" t="s">
        <v>115</v>
      </c>
      <c r="E63" s="10" t="str">
        <f aca="false">INDEX(Dim_Factory!$C$4:$C$15,MATCH(C63,Dim_Factory!$A$4:$A$15,0))</f>
        <v>S</v>
      </c>
      <c r="F63" s="10" t="str">
        <f aca="false">INDEX(Dim_Stream!$D$4:$D$10,MATCH(D63,Dim_Stream!$A$4:$A$10,0))</f>
        <v>101</v>
      </c>
      <c r="G63" s="11" t="n">
        <v>4.4</v>
      </c>
      <c r="H63" s="11" t="n">
        <v>0</v>
      </c>
      <c r="I63" s="12" t="n">
        <f aca="false">G63-H63</f>
        <v>4.4</v>
      </c>
      <c r="J63" s="8" t="n">
        <v>0</v>
      </c>
      <c r="K63" s="8" t="n">
        <v>0</v>
      </c>
      <c r="L63" s="7" t="n">
        <v>0</v>
      </c>
    </row>
    <row r="64" customFormat="false" ht="15" hidden="false" customHeight="false" outlineLevel="0" collapsed="false">
      <c r="A64" s="6" t="n">
        <v>6</v>
      </c>
      <c r="B64" s="6" t="s">
        <v>134</v>
      </c>
      <c r="C64" s="6" t="s">
        <v>73</v>
      </c>
      <c r="D64" s="6" t="s">
        <v>101</v>
      </c>
      <c r="E64" s="10" t="str">
        <f aca="false">INDEX(Dim_Factory!$C$4:$C$15,MATCH(C64,Dim_Factory!$A$4:$A$15,0))</f>
        <v>S</v>
      </c>
      <c r="F64" s="10" t="str">
        <f aca="false">INDEX(Dim_Stream!$D$4:$D$10,MATCH(D64,Dim_Stream!$A$4:$A$10,0))</f>
        <v>105</v>
      </c>
      <c r="G64" s="11" t="n">
        <v>8.1</v>
      </c>
      <c r="H64" s="11" t="n">
        <v>5</v>
      </c>
      <c r="I64" s="12" t="n">
        <f aca="false">G64-H64</f>
        <v>3.1</v>
      </c>
      <c r="J64" s="8" t="n">
        <v>3040</v>
      </c>
      <c r="K64" s="8" t="n">
        <v>992</v>
      </c>
      <c r="L64" s="7" t="n">
        <v>0</v>
      </c>
    </row>
    <row r="65" customFormat="false" ht="15" hidden="false" customHeight="false" outlineLevel="0" collapsed="false">
      <c r="A65" s="6" t="n">
        <v>6</v>
      </c>
      <c r="B65" s="6" t="s">
        <v>134</v>
      </c>
      <c r="C65" s="6" t="s">
        <v>73</v>
      </c>
      <c r="D65" s="6" t="s">
        <v>109</v>
      </c>
      <c r="E65" s="10" t="str">
        <f aca="false">INDEX(Dim_Factory!$C$4:$C$15,MATCH(C65,Dim_Factory!$A$4:$A$15,0))</f>
        <v>S</v>
      </c>
      <c r="F65" s="10" t="str">
        <f aca="false">INDEX(Dim_Stream!$D$4:$D$10,MATCH(D65,Dim_Stream!$A$4:$A$10,0))</f>
        <v>106</v>
      </c>
      <c r="G65" s="11" t="n">
        <v>0.5</v>
      </c>
      <c r="H65" s="11" t="n">
        <v>0</v>
      </c>
      <c r="I65" s="12" t="n">
        <f aca="false">G65-H65</f>
        <v>0.5</v>
      </c>
      <c r="J65" s="8" t="n">
        <v>0</v>
      </c>
      <c r="K65" s="8" t="n">
        <v>0</v>
      </c>
      <c r="L65" s="7" t="n">
        <v>0</v>
      </c>
    </row>
    <row r="66" customFormat="false" ht="15" hidden="false" customHeight="false" outlineLevel="0" collapsed="false">
      <c r="A66" s="6" t="n">
        <v>7</v>
      </c>
      <c r="B66" s="6" t="s">
        <v>135</v>
      </c>
      <c r="C66" s="6" t="s">
        <v>41</v>
      </c>
      <c r="D66" s="6" t="s">
        <v>89</v>
      </c>
      <c r="E66" s="10" t="str">
        <f aca="false">INDEX(Dim_Factory!$C$4:$C$15,MATCH(C66,Dim_Factory!$A$4:$A$15,0))</f>
        <v>M</v>
      </c>
      <c r="F66" s="10" t="str">
        <f aca="false">INDEX(Dim_Stream!$D$4:$D$10,MATCH(D66,Dim_Stream!$A$4:$A$10,0))</f>
        <v>105</v>
      </c>
      <c r="G66" s="11" t="n">
        <v>11.3</v>
      </c>
      <c r="H66" s="11" t="n">
        <v>7.1</v>
      </c>
      <c r="I66" s="12" t="n">
        <f aca="false">G66-H66</f>
        <v>4.2</v>
      </c>
      <c r="J66" s="8" t="n">
        <v>10520</v>
      </c>
      <c r="K66" s="8" t="n">
        <v>2615</v>
      </c>
      <c r="L66" s="7" t="n">
        <v>1</v>
      </c>
    </row>
    <row r="67" customFormat="false" ht="15" hidden="false" customHeight="false" outlineLevel="0" collapsed="false">
      <c r="A67" s="6" t="n">
        <v>7</v>
      </c>
      <c r="B67" s="6" t="s">
        <v>135</v>
      </c>
      <c r="C67" s="6" t="s">
        <v>41</v>
      </c>
      <c r="D67" s="6" t="s">
        <v>115</v>
      </c>
      <c r="E67" s="10" t="str">
        <f aca="false">INDEX(Dim_Factory!$C$4:$C$15,MATCH(C67,Dim_Factory!$A$4:$A$15,0))</f>
        <v>M</v>
      </c>
      <c r="F67" s="10" t="str">
        <f aca="false">INDEX(Dim_Stream!$D$4:$D$10,MATCH(D67,Dim_Stream!$A$4:$A$10,0))</f>
        <v>101</v>
      </c>
      <c r="G67" s="11" t="n">
        <v>6.4</v>
      </c>
      <c r="H67" s="11" t="n">
        <v>0</v>
      </c>
      <c r="I67" s="12" t="n">
        <f aca="false">G67-H67</f>
        <v>6.4</v>
      </c>
      <c r="J67" s="8" t="n">
        <v>0</v>
      </c>
      <c r="K67" s="8" t="n">
        <v>0</v>
      </c>
      <c r="L67" s="7" t="n">
        <v>0</v>
      </c>
    </row>
    <row r="68" customFormat="false" ht="15" hidden="false" customHeight="false" outlineLevel="0" collapsed="false">
      <c r="A68" s="6" t="n">
        <v>7</v>
      </c>
      <c r="B68" s="6" t="s">
        <v>135</v>
      </c>
      <c r="C68" s="6" t="s">
        <v>47</v>
      </c>
      <c r="D68" s="6" t="s">
        <v>94</v>
      </c>
      <c r="E68" s="10" t="str">
        <f aca="false">INDEX(Dim_Factory!$C$4:$C$15,MATCH(C68,Dim_Factory!$A$4:$A$15,0))</f>
        <v>S</v>
      </c>
      <c r="F68" s="10" t="str">
        <f aca="false">INDEX(Dim_Stream!$D$4:$D$10,MATCH(D68,Dim_Stream!$A$4:$A$10,0))</f>
        <v>105</v>
      </c>
      <c r="G68" s="11" t="n">
        <v>4.5</v>
      </c>
      <c r="H68" s="11" t="n">
        <v>2.8</v>
      </c>
      <c r="I68" s="12" t="n">
        <f aca="false">G68-H68</f>
        <v>1.7</v>
      </c>
      <c r="J68" s="8" t="n">
        <v>5760</v>
      </c>
      <c r="K68" s="8" t="n">
        <v>1289</v>
      </c>
      <c r="L68" s="7" t="n">
        <v>0</v>
      </c>
    </row>
    <row r="69" customFormat="false" ht="15" hidden="false" customHeight="false" outlineLevel="0" collapsed="false">
      <c r="A69" s="6" t="n">
        <v>7</v>
      </c>
      <c r="B69" s="6" t="s">
        <v>135</v>
      </c>
      <c r="C69" s="6" t="s">
        <v>52</v>
      </c>
      <c r="D69" s="6" t="s">
        <v>101</v>
      </c>
      <c r="E69" s="10" t="str">
        <f aca="false">INDEX(Dim_Factory!$C$4:$C$15,MATCH(C69,Dim_Factory!$A$4:$A$15,0))</f>
        <v>S</v>
      </c>
      <c r="F69" s="10" t="str">
        <f aca="false">INDEX(Dim_Stream!$D$4:$D$10,MATCH(D69,Dim_Stream!$A$4:$A$10,0))</f>
        <v>105</v>
      </c>
      <c r="G69" s="11" t="n">
        <v>7.2</v>
      </c>
      <c r="H69" s="11" t="n">
        <v>4.5</v>
      </c>
      <c r="I69" s="12" t="n">
        <f aca="false">G69-H69</f>
        <v>2.7</v>
      </c>
      <c r="J69" s="8" t="n">
        <v>3330</v>
      </c>
      <c r="K69" s="8" t="n">
        <v>829</v>
      </c>
      <c r="L69" s="7" t="n">
        <v>0</v>
      </c>
    </row>
    <row r="70" customFormat="false" ht="15" hidden="false" customHeight="false" outlineLevel="0" collapsed="false">
      <c r="A70" s="6" t="n">
        <v>7</v>
      </c>
      <c r="B70" s="6" t="s">
        <v>135</v>
      </c>
      <c r="C70" s="6" t="s">
        <v>52</v>
      </c>
      <c r="D70" s="6" t="s">
        <v>109</v>
      </c>
      <c r="E70" s="10" t="str">
        <f aca="false">INDEX(Dim_Factory!$C$4:$C$15,MATCH(C70,Dim_Factory!$A$4:$A$15,0))</f>
        <v>S</v>
      </c>
      <c r="F70" s="10" t="str">
        <f aca="false">INDEX(Dim_Stream!$D$4:$D$10,MATCH(D70,Dim_Stream!$A$4:$A$10,0))</f>
        <v>106</v>
      </c>
      <c r="G70" s="11" t="n">
        <v>0.5</v>
      </c>
      <c r="H70" s="11" t="n">
        <v>0</v>
      </c>
      <c r="I70" s="12" t="n">
        <f aca="false">G70-H70</f>
        <v>0.5</v>
      </c>
      <c r="J70" s="8" t="n">
        <v>0</v>
      </c>
      <c r="K70" s="8" t="n">
        <v>0</v>
      </c>
      <c r="L70" s="7" t="n">
        <v>0</v>
      </c>
    </row>
    <row r="71" customFormat="false" ht="15" hidden="false" customHeight="false" outlineLevel="0" collapsed="false">
      <c r="A71" s="6" t="n">
        <v>7</v>
      </c>
      <c r="B71" s="6" t="s">
        <v>135</v>
      </c>
      <c r="C71" s="6" t="s">
        <v>55</v>
      </c>
      <c r="D71" s="6" t="s">
        <v>89</v>
      </c>
      <c r="E71" s="10" t="str">
        <f aca="false">INDEX(Dim_Factory!$C$4:$C$15,MATCH(C71,Dim_Factory!$A$4:$A$15,0))</f>
        <v>M</v>
      </c>
      <c r="F71" s="10" t="str">
        <f aca="false">INDEX(Dim_Stream!$D$4:$D$10,MATCH(D71,Dim_Stream!$A$4:$A$10,0))</f>
        <v>105</v>
      </c>
      <c r="G71" s="11" t="n">
        <v>11.3</v>
      </c>
      <c r="H71" s="11" t="n">
        <v>7.1</v>
      </c>
      <c r="I71" s="12" t="n">
        <f aca="false">G71-H71</f>
        <v>4.2</v>
      </c>
      <c r="J71" s="8" t="n">
        <v>10520</v>
      </c>
      <c r="K71" s="8" t="n">
        <v>2615</v>
      </c>
      <c r="L71" s="7" t="n">
        <v>1</v>
      </c>
    </row>
    <row r="72" customFormat="false" ht="15" hidden="false" customHeight="false" outlineLevel="0" collapsed="false">
      <c r="A72" s="6" t="n">
        <v>7</v>
      </c>
      <c r="B72" s="6" t="s">
        <v>135</v>
      </c>
      <c r="C72" s="6" t="s">
        <v>55</v>
      </c>
      <c r="D72" s="6" t="s">
        <v>109</v>
      </c>
      <c r="E72" s="10" t="str">
        <f aca="false">INDEX(Dim_Factory!$C$4:$C$15,MATCH(C72,Dim_Factory!$A$4:$A$15,0))</f>
        <v>M</v>
      </c>
      <c r="F72" s="10" t="str">
        <f aca="false">INDEX(Dim_Stream!$D$4:$D$10,MATCH(D72,Dim_Stream!$A$4:$A$10,0))</f>
        <v>106</v>
      </c>
      <c r="G72" s="11" t="n">
        <v>0.5</v>
      </c>
      <c r="H72" s="11" t="n">
        <v>0</v>
      </c>
      <c r="I72" s="12" t="n">
        <f aca="false">G72-H72</f>
        <v>0.5</v>
      </c>
      <c r="J72" s="8" t="n">
        <v>0</v>
      </c>
      <c r="K72" s="8" t="n">
        <v>0</v>
      </c>
      <c r="L72" s="7" t="n">
        <v>0</v>
      </c>
    </row>
    <row r="73" customFormat="false" ht="15" hidden="false" customHeight="false" outlineLevel="0" collapsed="false">
      <c r="A73" s="6" t="n">
        <v>7</v>
      </c>
      <c r="B73" s="6" t="s">
        <v>135</v>
      </c>
      <c r="C73" s="6" t="s">
        <v>58</v>
      </c>
      <c r="D73" s="6" t="s">
        <v>97</v>
      </c>
      <c r="E73" s="10" t="str">
        <f aca="false">INDEX(Dim_Factory!$C$4:$C$15,MATCH(C73,Dim_Factory!$A$4:$A$15,0))</f>
        <v>S</v>
      </c>
      <c r="F73" s="10" t="str">
        <f aca="false">INDEX(Dim_Stream!$D$4:$D$10,MATCH(D73,Dim_Stream!$A$4:$A$10,0))</f>
        <v>105</v>
      </c>
      <c r="G73" s="11" t="n">
        <v>1.6</v>
      </c>
      <c r="H73" s="11" t="n">
        <v>1</v>
      </c>
      <c r="I73" s="12" t="n">
        <f aca="false">G73-H73</f>
        <v>0.6</v>
      </c>
      <c r="J73" s="8" t="n">
        <v>1480</v>
      </c>
      <c r="K73" s="8" t="n">
        <v>276</v>
      </c>
      <c r="L73" s="7" t="n">
        <v>0</v>
      </c>
    </row>
    <row r="74" customFormat="false" ht="15" hidden="false" customHeight="false" outlineLevel="0" collapsed="false">
      <c r="A74" s="6" t="n">
        <v>7</v>
      </c>
      <c r="B74" s="6" t="s">
        <v>135</v>
      </c>
      <c r="C74" s="6" t="s">
        <v>58</v>
      </c>
      <c r="D74" s="6" t="s">
        <v>94</v>
      </c>
      <c r="E74" s="10" t="str">
        <f aca="false">INDEX(Dim_Factory!$C$4:$C$15,MATCH(C74,Dim_Factory!$A$4:$A$15,0))</f>
        <v>S</v>
      </c>
      <c r="F74" s="10" t="str">
        <f aca="false">INDEX(Dim_Stream!$D$4:$D$10,MATCH(D74,Dim_Stream!$A$4:$A$10,0))</f>
        <v>105</v>
      </c>
      <c r="G74" s="11" t="n">
        <v>4.5</v>
      </c>
      <c r="H74" s="11" t="n">
        <v>2.8</v>
      </c>
      <c r="I74" s="12" t="n">
        <f aca="false">G74-H74</f>
        <v>1.7</v>
      </c>
      <c r="J74" s="8" t="n">
        <v>5760</v>
      </c>
      <c r="K74" s="8" t="n">
        <v>1289</v>
      </c>
      <c r="L74" s="7" t="n">
        <v>0</v>
      </c>
    </row>
    <row r="75" customFormat="false" ht="15" hidden="false" customHeight="false" outlineLevel="0" collapsed="false">
      <c r="A75" s="6" t="n">
        <v>7</v>
      </c>
      <c r="B75" s="6" t="s">
        <v>135</v>
      </c>
      <c r="C75" s="6" t="s">
        <v>62</v>
      </c>
      <c r="D75" s="6" t="s">
        <v>105</v>
      </c>
      <c r="E75" s="10" t="str">
        <f aca="false">INDEX(Dim_Factory!$C$4:$C$15,MATCH(C75,Dim_Factory!$A$4:$A$15,0))</f>
        <v>M</v>
      </c>
      <c r="F75" s="10" t="str">
        <f aca="false">INDEX(Dim_Stream!$D$4:$D$10,MATCH(D75,Dim_Stream!$A$4:$A$10,0))</f>
        <v>105</v>
      </c>
      <c r="G75" s="11" t="n">
        <v>9.5</v>
      </c>
      <c r="H75" s="11" t="n">
        <v>6</v>
      </c>
      <c r="I75" s="12" t="n">
        <f aca="false">G75-H75</f>
        <v>3.5</v>
      </c>
      <c r="J75" s="8" t="n">
        <v>5920</v>
      </c>
      <c r="K75" s="8" t="n">
        <v>2026</v>
      </c>
      <c r="L75" s="7" t="n">
        <v>1</v>
      </c>
    </row>
    <row r="76" customFormat="false" ht="15" hidden="false" customHeight="false" outlineLevel="0" collapsed="false">
      <c r="A76" s="6" t="n">
        <v>7</v>
      </c>
      <c r="B76" s="6" t="s">
        <v>135</v>
      </c>
      <c r="C76" s="6" t="s">
        <v>62</v>
      </c>
      <c r="D76" s="6" t="s">
        <v>97</v>
      </c>
      <c r="E76" s="10" t="str">
        <f aca="false">INDEX(Dim_Factory!$C$4:$C$15,MATCH(C76,Dim_Factory!$A$4:$A$15,0))</f>
        <v>M</v>
      </c>
      <c r="F76" s="10" t="str">
        <f aca="false">INDEX(Dim_Stream!$D$4:$D$10,MATCH(D76,Dim_Stream!$A$4:$A$10,0))</f>
        <v>105</v>
      </c>
      <c r="G76" s="11" t="n">
        <v>2.4</v>
      </c>
      <c r="H76" s="11" t="n">
        <v>1.5</v>
      </c>
      <c r="I76" s="12" t="n">
        <f aca="false">G76-H76</f>
        <v>0.9</v>
      </c>
      <c r="J76" s="8" t="n">
        <v>2220</v>
      </c>
      <c r="K76" s="8" t="n">
        <v>414</v>
      </c>
      <c r="L76" s="7" t="n">
        <v>0</v>
      </c>
    </row>
    <row r="77" customFormat="false" ht="15" hidden="false" customHeight="false" outlineLevel="0" collapsed="false">
      <c r="A77" s="6" t="n">
        <v>7</v>
      </c>
      <c r="B77" s="6" t="s">
        <v>135</v>
      </c>
      <c r="C77" s="6" t="s">
        <v>65</v>
      </c>
      <c r="D77" s="6" t="s">
        <v>89</v>
      </c>
      <c r="E77" s="10" t="str">
        <f aca="false">INDEX(Dim_Factory!$C$4:$C$15,MATCH(C77,Dim_Factory!$A$4:$A$15,0))</f>
        <v>L</v>
      </c>
      <c r="F77" s="10" t="str">
        <f aca="false">INDEX(Dim_Stream!$D$4:$D$10,MATCH(D77,Dim_Stream!$A$4:$A$10,0))</f>
        <v>105</v>
      </c>
      <c r="G77" s="11" t="n">
        <v>17.2</v>
      </c>
      <c r="H77" s="11" t="n">
        <v>10.8</v>
      </c>
      <c r="I77" s="12" t="n">
        <f aca="false">G77-H77</f>
        <v>6.4</v>
      </c>
      <c r="J77" s="8" t="n">
        <v>16010</v>
      </c>
      <c r="K77" s="8" t="n">
        <v>3979</v>
      </c>
      <c r="L77" s="7" t="n">
        <v>1</v>
      </c>
    </row>
    <row r="78" customFormat="false" ht="15" hidden="false" customHeight="false" outlineLevel="0" collapsed="false">
      <c r="A78" s="6" t="n">
        <v>7</v>
      </c>
      <c r="B78" s="6" t="s">
        <v>135</v>
      </c>
      <c r="C78" s="6" t="s">
        <v>65</v>
      </c>
      <c r="D78" s="6" t="s">
        <v>94</v>
      </c>
      <c r="E78" s="10" t="str">
        <f aca="false">INDEX(Dim_Factory!$C$4:$C$15,MATCH(C78,Dim_Factory!$A$4:$A$15,0))</f>
        <v>L</v>
      </c>
      <c r="F78" s="10" t="str">
        <f aca="false">INDEX(Dim_Stream!$D$4:$D$10,MATCH(D78,Dim_Stream!$A$4:$A$10,0))</f>
        <v>105</v>
      </c>
      <c r="G78" s="11" t="n">
        <v>11</v>
      </c>
      <c r="H78" s="11" t="n">
        <v>6.9</v>
      </c>
      <c r="I78" s="12" t="n">
        <f aca="false">G78-H78</f>
        <v>4.1</v>
      </c>
      <c r="J78" s="8" t="n">
        <v>14190</v>
      </c>
      <c r="K78" s="8" t="n">
        <v>3177</v>
      </c>
      <c r="L78" s="7" t="n">
        <v>1</v>
      </c>
    </row>
    <row r="79" customFormat="false" ht="15" hidden="false" customHeight="false" outlineLevel="0" collapsed="false">
      <c r="A79" s="6" t="n">
        <v>7</v>
      </c>
      <c r="B79" s="6" t="s">
        <v>135</v>
      </c>
      <c r="C79" s="6" t="s">
        <v>65</v>
      </c>
      <c r="D79" s="6" t="s">
        <v>109</v>
      </c>
      <c r="E79" s="10" t="str">
        <f aca="false">INDEX(Dim_Factory!$C$4:$C$15,MATCH(C79,Dim_Factory!$A$4:$A$15,0))</f>
        <v>L</v>
      </c>
      <c r="F79" s="10" t="str">
        <f aca="false">INDEX(Dim_Stream!$D$4:$D$10,MATCH(D79,Dim_Stream!$A$4:$A$10,0))</f>
        <v>106</v>
      </c>
      <c r="G79" s="11" t="n">
        <v>0.5</v>
      </c>
      <c r="H79" s="11" t="n">
        <v>0</v>
      </c>
      <c r="I79" s="12" t="n">
        <f aca="false">G79-H79</f>
        <v>0.5</v>
      </c>
      <c r="J79" s="8" t="n">
        <v>0</v>
      </c>
      <c r="K79" s="8" t="n">
        <v>0</v>
      </c>
      <c r="L79" s="7" t="n">
        <v>0</v>
      </c>
    </row>
    <row r="80" customFormat="false" ht="15" hidden="false" customHeight="false" outlineLevel="0" collapsed="false">
      <c r="A80" s="6" t="n">
        <v>7</v>
      </c>
      <c r="B80" s="6" t="s">
        <v>135</v>
      </c>
      <c r="C80" s="6" t="s">
        <v>70</v>
      </c>
      <c r="D80" s="6" t="s">
        <v>97</v>
      </c>
      <c r="E80" s="10" t="str">
        <f aca="false">INDEX(Dim_Factory!$C$4:$C$15,MATCH(C80,Dim_Factory!$A$4:$A$15,0))</f>
        <v>S</v>
      </c>
      <c r="F80" s="10" t="str">
        <f aca="false">INDEX(Dim_Stream!$D$4:$D$10,MATCH(D80,Dim_Stream!$A$4:$A$10,0))</f>
        <v>105</v>
      </c>
      <c r="G80" s="11" t="n">
        <v>1.6</v>
      </c>
      <c r="H80" s="11" t="n">
        <v>1</v>
      </c>
      <c r="I80" s="12" t="n">
        <f aca="false">G80-H80</f>
        <v>0.6</v>
      </c>
      <c r="J80" s="8" t="n">
        <v>1480</v>
      </c>
      <c r="K80" s="8" t="n">
        <v>276</v>
      </c>
      <c r="L80" s="7" t="n">
        <v>0</v>
      </c>
    </row>
    <row r="81" customFormat="false" ht="15" hidden="false" customHeight="false" outlineLevel="0" collapsed="false">
      <c r="A81" s="6" t="n">
        <v>7</v>
      </c>
      <c r="B81" s="6" t="s">
        <v>135</v>
      </c>
      <c r="C81" s="6" t="s">
        <v>70</v>
      </c>
      <c r="D81" s="6" t="s">
        <v>115</v>
      </c>
      <c r="E81" s="10" t="str">
        <f aca="false">INDEX(Dim_Factory!$C$4:$C$15,MATCH(C81,Dim_Factory!$A$4:$A$15,0))</f>
        <v>S</v>
      </c>
      <c r="F81" s="10" t="str">
        <f aca="false">INDEX(Dim_Stream!$D$4:$D$10,MATCH(D81,Dim_Stream!$A$4:$A$10,0))</f>
        <v>101</v>
      </c>
      <c r="G81" s="11" t="n">
        <v>4.2</v>
      </c>
      <c r="H81" s="11" t="n">
        <v>0</v>
      </c>
      <c r="I81" s="12" t="n">
        <f aca="false">G81-H81</f>
        <v>4.2</v>
      </c>
      <c r="J81" s="8" t="n">
        <v>0</v>
      </c>
      <c r="K81" s="8" t="n">
        <v>0</v>
      </c>
      <c r="L81" s="7" t="n">
        <v>0</v>
      </c>
    </row>
    <row r="82" customFormat="false" ht="15" hidden="false" customHeight="false" outlineLevel="0" collapsed="false">
      <c r="A82" s="6" t="n">
        <v>7</v>
      </c>
      <c r="B82" s="6" t="s">
        <v>135</v>
      </c>
      <c r="C82" s="6" t="s">
        <v>73</v>
      </c>
      <c r="D82" s="6" t="s">
        <v>101</v>
      </c>
      <c r="E82" s="10" t="str">
        <f aca="false">INDEX(Dim_Factory!$C$4:$C$15,MATCH(C82,Dim_Factory!$A$4:$A$15,0))</f>
        <v>S</v>
      </c>
      <c r="F82" s="10" t="str">
        <f aca="false">INDEX(Dim_Stream!$D$4:$D$10,MATCH(D82,Dim_Stream!$A$4:$A$10,0))</f>
        <v>105</v>
      </c>
      <c r="G82" s="11" t="n">
        <v>7.2</v>
      </c>
      <c r="H82" s="11" t="n">
        <v>4.5</v>
      </c>
      <c r="I82" s="12" t="n">
        <f aca="false">G82-H82</f>
        <v>2.7</v>
      </c>
      <c r="J82" s="8" t="n">
        <v>3330</v>
      </c>
      <c r="K82" s="8" t="n">
        <v>829</v>
      </c>
      <c r="L82" s="7" t="n">
        <v>0</v>
      </c>
    </row>
    <row r="83" customFormat="false" ht="15" hidden="false" customHeight="false" outlineLevel="0" collapsed="false">
      <c r="A83" s="6" t="n">
        <v>7</v>
      </c>
      <c r="B83" s="6" t="s">
        <v>135</v>
      </c>
      <c r="C83" s="6" t="s">
        <v>73</v>
      </c>
      <c r="D83" s="6" t="s">
        <v>109</v>
      </c>
      <c r="E83" s="10" t="str">
        <f aca="false">INDEX(Dim_Factory!$C$4:$C$15,MATCH(C83,Dim_Factory!$A$4:$A$15,0))</f>
        <v>S</v>
      </c>
      <c r="F83" s="10" t="str">
        <f aca="false">INDEX(Dim_Stream!$D$4:$D$10,MATCH(D83,Dim_Stream!$A$4:$A$10,0))</f>
        <v>106</v>
      </c>
      <c r="G83" s="11" t="n">
        <v>0.5</v>
      </c>
      <c r="H83" s="11" t="n">
        <v>0</v>
      </c>
      <c r="I83" s="12" t="n">
        <f aca="false">G83-H83</f>
        <v>0.5</v>
      </c>
      <c r="J83" s="8" t="n">
        <v>0</v>
      </c>
      <c r="K83" s="8" t="n">
        <v>0</v>
      </c>
      <c r="L83" s="7" t="n">
        <v>0</v>
      </c>
    </row>
    <row r="84" customFormat="false" ht="15" hidden="false" customHeight="false" outlineLevel="0" collapsed="false">
      <c r="A84" s="6" t="n">
        <v>7</v>
      </c>
      <c r="B84" s="6" t="s">
        <v>135</v>
      </c>
      <c r="C84" s="6" t="s">
        <v>74</v>
      </c>
      <c r="D84" s="6" t="s">
        <v>94</v>
      </c>
      <c r="E84" s="10" t="str">
        <f aca="false">INDEX(Dim_Factory!$C$4:$C$15,MATCH(C84,Dim_Factory!$A$4:$A$15,0))</f>
        <v>M</v>
      </c>
      <c r="F84" s="10" t="str">
        <f aca="false">INDEX(Dim_Stream!$D$4:$D$10,MATCH(D84,Dim_Stream!$A$4:$A$10,0))</f>
        <v>105</v>
      </c>
      <c r="G84" s="11" t="n">
        <v>7.2</v>
      </c>
      <c r="H84" s="11" t="n">
        <v>4.5</v>
      </c>
      <c r="I84" s="12" t="n">
        <f aca="false">G84-H84</f>
        <v>2.7</v>
      </c>
      <c r="J84" s="8" t="n">
        <v>9260</v>
      </c>
      <c r="K84" s="8" t="n">
        <v>2072</v>
      </c>
      <c r="L84" s="7" t="n">
        <v>0</v>
      </c>
    </row>
    <row r="85" customFormat="false" ht="15" hidden="false" customHeight="false" outlineLevel="0" collapsed="false">
      <c r="A85" s="6" t="n">
        <v>7</v>
      </c>
      <c r="B85" s="6" t="s">
        <v>135</v>
      </c>
      <c r="C85" s="6" t="s">
        <v>74</v>
      </c>
      <c r="D85" s="6" t="s">
        <v>97</v>
      </c>
      <c r="E85" s="10" t="str">
        <f aca="false">INDEX(Dim_Factory!$C$4:$C$15,MATCH(C85,Dim_Factory!$A$4:$A$15,0))</f>
        <v>M</v>
      </c>
      <c r="F85" s="10" t="str">
        <f aca="false">INDEX(Dim_Stream!$D$4:$D$10,MATCH(D85,Dim_Stream!$A$4:$A$10,0))</f>
        <v>105</v>
      </c>
      <c r="G85" s="11" t="n">
        <v>2.4</v>
      </c>
      <c r="H85" s="11" t="n">
        <v>1.5</v>
      </c>
      <c r="I85" s="12" t="n">
        <f aca="false">G85-H85</f>
        <v>0.9</v>
      </c>
      <c r="J85" s="8" t="n">
        <v>2220</v>
      </c>
      <c r="K85" s="8" t="n">
        <v>414</v>
      </c>
      <c r="L85" s="7" t="n">
        <v>0</v>
      </c>
    </row>
    <row r="86" customFormat="false" ht="15" hidden="false" customHeight="false" outlineLevel="0" collapsed="false">
      <c r="A86" s="6" t="n">
        <v>7</v>
      </c>
      <c r="B86" s="6" t="s">
        <v>135</v>
      </c>
      <c r="C86" s="6" t="s">
        <v>74</v>
      </c>
      <c r="D86" s="6" t="s">
        <v>109</v>
      </c>
      <c r="E86" s="10" t="str">
        <f aca="false">INDEX(Dim_Factory!$C$4:$C$15,MATCH(C86,Dim_Factory!$A$4:$A$15,0))</f>
        <v>M</v>
      </c>
      <c r="F86" s="10" t="str">
        <f aca="false">INDEX(Dim_Stream!$D$4:$D$10,MATCH(D86,Dim_Stream!$A$4:$A$10,0))</f>
        <v>106</v>
      </c>
      <c r="G86" s="11" t="n">
        <v>0.5</v>
      </c>
      <c r="H86" s="11" t="n">
        <v>0</v>
      </c>
      <c r="I86" s="12" t="n">
        <f aca="false">G86-H86</f>
        <v>0.5</v>
      </c>
      <c r="J86" s="8" t="n">
        <v>0</v>
      </c>
      <c r="K86" s="8" t="n">
        <v>0</v>
      </c>
      <c r="L86" s="7" t="n">
        <v>0</v>
      </c>
    </row>
    <row r="87" customFormat="false" ht="15" hidden="false" customHeight="false" outlineLevel="0" collapsed="false">
      <c r="A87" s="6" t="n">
        <v>8</v>
      </c>
      <c r="B87" s="6" t="s">
        <v>136</v>
      </c>
      <c r="C87" s="6" t="s">
        <v>41</v>
      </c>
      <c r="D87" s="6" t="s">
        <v>89</v>
      </c>
      <c r="E87" s="10" t="str">
        <f aca="false">INDEX(Dim_Factory!$C$4:$C$15,MATCH(C87,Dim_Factory!$A$4:$A$15,0))</f>
        <v>M</v>
      </c>
      <c r="F87" s="10" t="str">
        <f aca="false">INDEX(Dim_Stream!$D$4:$D$10,MATCH(D87,Dim_Stream!$A$4:$A$10,0))</f>
        <v>105</v>
      </c>
      <c r="G87" s="11" t="n">
        <v>11.8</v>
      </c>
      <c r="H87" s="11" t="n">
        <v>7.7</v>
      </c>
      <c r="I87" s="12" t="n">
        <f aca="false">G87-H87</f>
        <v>4.1</v>
      </c>
      <c r="J87" s="8" t="n">
        <v>12300</v>
      </c>
      <c r="K87" s="8" t="n">
        <v>3235</v>
      </c>
      <c r="L87" s="7" t="n">
        <v>1</v>
      </c>
    </row>
    <row r="88" customFormat="false" ht="15" hidden="false" customHeight="false" outlineLevel="0" collapsed="false">
      <c r="A88" s="6" t="n">
        <v>8</v>
      </c>
      <c r="B88" s="6" t="s">
        <v>136</v>
      </c>
      <c r="C88" s="6" t="s">
        <v>41</v>
      </c>
      <c r="D88" s="6" t="s">
        <v>115</v>
      </c>
      <c r="E88" s="10" t="str">
        <f aca="false">INDEX(Dim_Factory!$C$4:$C$15,MATCH(C88,Dim_Factory!$A$4:$A$15,0))</f>
        <v>M</v>
      </c>
      <c r="F88" s="10" t="str">
        <f aca="false">INDEX(Dim_Stream!$D$4:$D$10,MATCH(D88,Dim_Stream!$A$4:$A$10,0))</f>
        <v>101</v>
      </c>
      <c r="G88" s="11" t="n">
        <v>6.1</v>
      </c>
      <c r="H88" s="11" t="n">
        <v>0</v>
      </c>
      <c r="I88" s="12" t="n">
        <f aca="false">G88-H88</f>
        <v>6.1</v>
      </c>
      <c r="J88" s="8" t="n">
        <v>0</v>
      </c>
      <c r="K88" s="8" t="n">
        <v>0</v>
      </c>
      <c r="L88" s="7" t="n">
        <v>0</v>
      </c>
    </row>
    <row r="89" customFormat="false" ht="15" hidden="false" customHeight="false" outlineLevel="0" collapsed="false">
      <c r="A89" s="6" t="n">
        <v>8</v>
      </c>
      <c r="B89" s="6" t="s">
        <v>136</v>
      </c>
      <c r="C89" s="6" t="s">
        <v>47</v>
      </c>
      <c r="D89" s="6" t="s">
        <v>94</v>
      </c>
      <c r="E89" s="10" t="str">
        <f aca="false">INDEX(Dim_Factory!$C$4:$C$15,MATCH(C89,Dim_Factory!$A$4:$A$15,0))</f>
        <v>S</v>
      </c>
      <c r="F89" s="10" t="str">
        <f aca="false">INDEX(Dim_Stream!$D$4:$D$10,MATCH(D89,Dim_Stream!$A$4:$A$10,0))</f>
        <v>105</v>
      </c>
      <c r="G89" s="11" t="n">
        <v>5.1</v>
      </c>
      <c r="H89" s="11" t="n">
        <v>3.3</v>
      </c>
      <c r="I89" s="12" t="n">
        <f aca="false">G89-H89</f>
        <v>1.8</v>
      </c>
      <c r="J89" s="8" t="n">
        <v>7320</v>
      </c>
      <c r="K89" s="8" t="n">
        <v>1733</v>
      </c>
      <c r="L89" s="7" t="n">
        <v>0</v>
      </c>
    </row>
    <row r="90" customFormat="false" ht="15" hidden="false" customHeight="false" outlineLevel="0" collapsed="false">
      <c r="A90" s="6" t="n">
        <v>8</v>
      </c>
      <c r="B90" s="6" t="s">
        <v>136</v>
      </c>
      <c r="C90" s="6" t="s">
        <v>52</v>
      </c>
      <c r="D90" s="6" t="s">
        <v>101</v>
      </c>
      <c r="E90" s="10" t="str">
        <f aca="false">INDEX(Dim_Factory!$C$4:$C$15,MATCH(C90,Dim_Factory!$A$4:$A$15,0))</f>
        <v>S</v>
      </c>
      <c r="F90" s="10" t="str">
        <f aca="false">INDEX(Dim_Stream!$D$4:$D$10,MATCH(D90,Dim_Stream!$A$4:$A$10,0))</f>
        <v>105</v>
      </c>
      <c r="G90" s="11" t="n">
        <v>7.7</v>
      </c>
      <c r="H90" s="11" t="n">
        <v>5</v>
      </c>
      <c r="I90" s="12" t="n">
        <f aca="false">G90-H90</f>
        <v>2.7</v>
      </c>
      <c r="J90" s="8" t="n">
        <v>3990</v>
      </c>
      <c r="K90" s="8" t="n">
        <v>1050</v>
      </c>
      <c r="L90" s="7" t="n">
        <v>1</v>
      </c>
    </row>
    <row r="91" customFormat="false" ht="15" hidden="false" customHeight="false" outlineLevel="0" collapsed="false">
      <c r="A91" s="6" t="n">
        <v>8</v>
      </c>
      <c r="B91" s="6" t="s">
        <v>136</v>
      </c>
      <c r="C91" s="6" t="s">
        <v>52</v>
      </c>
      <c r="D91" s="6" t="s">
        <v>109</v>
      </c>
      <c r="E91" s="10" t="str">
        <f aca="false">INDEX(Dim_Factory!$C$4:$C$15,MATCH(C91,Dim_Factory!$A$4:$A$15,0))</f>
        <v>S</v>
      </c>
      <c r="F91" s="10" t="str">
        <f aca="false">INDEX(Dim_Stream!$D$4:$D$10,MATCH(D91,Dim_Stream!$A$4:$A$10,0))</f>
        <v>106</v>
      </c>
      <c r="G91" s="11" t="n">
        <v>0.5</v>
      </c>
      <c r="H91" s="11" t="n">
        <v>0</v>
      </c>
      <c r="I91" s="12" t="n">
        <f aca="false">G91-H91</f>
        <v>0.5</v>
      </c>
      <c r="J91" s="8" t="n">
        <v>0</v>
      </c>
      <c r="K91" s="8" t="n">
        <v>0</v>
      </c>
      <c r="L91" s="7" t="n">
        <v>0</v>
      </c>
    </row>
    <row r="92" customFormat="false" ht="15" hidden="false" customHeight="false" outlineLevel="0" collapsed="false">
      <c r="A92" s="6" t="n">
        <v>8</v>
      </c>
      <c r="B92" s="6" t="s">
        <v>136</v>
      </c>
      <c r="C92" s="6" t="s">
        <v>55</v>
      </c>
      <c r="D92" s="6" t="s">
        <v>89</v>
      </c>
      <c r="E92" s="10" t="str">
        <f aca="false">INDEX(Dim_Factory!$C$4:$C$15,MATCH(C92,Dim_Factory!$A$4:$A$15,0))</f>
        <v>M</v>
      </c>
      <c r="F92" s="10" t="str">
        <f aca="false">INDEX(Dim_Stream!$D$4:$D$10,MATCH(D92,Dim_Stream!$A$4:$A$10,0))</f>
        <v>105</v>
      </c>
      <c r="G92" s="11" t="n">
        <v>11.8</v>
      </c>
      <c r="H92" s="11" t="n">
        <v>7.7</v>
      </c>
      <c r="I92" s="12" t="n">
        <f aca="false">G92-H92</f>
        <v>4.1</v>
      </c>
      <c r="J92" s="8" t="n">
        <v>12300</v>
      </c>
      <c r="K92" s="8" t="n">
        <v>3235</v>
      </c>
      <c r="L92" s="7" t="n">
        <v>1</v>
      </c>
    </row>
    <row r="93" customFormat="false" ht="15" hidden="false" customHeight="false" outlineLevel="0" collapsed="false">
      <c r="A93" s="6" t="n">
        <v>8</v>
      </c>
      <c r="B93" s="6" t="s">
        <v>136</v>
      </c>
      <c r="C93" s="6" t="s">
        <v>55</v>
      </c>
      <c r="D93" s="6" t="s">
        <v>109</v>
      </c>
      <c r="E93" s="10" t="str">
        <f aca="false">INDEX(Dim_Factory!$C$4:$C$15,MATCH(C93,Dim_Factory!$A$4:$A$15,0))</f>
        <v>M</v>
      </c>
      <c r="F93" s="10" t="str">
        <f aca="false">INDEX(Dim_Stream!$D$4:$D$10,MATCH(D93,Dim_Stream!$A$4:$A$10,0))</f>
        <v>106</v>
      </c>
      <c r="G93" s="11" t="n">
        <v>0.5</v>
      </c>
      <c r="H93" s="11" t="n">
        <v>0</v>
      </c>
      <c r="I93" s="12" t="n">
        <f aca="false">G93-H93</f>
        <v>0.5</v>
      </c>
      <c r="J93" s="8" t="n">
        <v>0</v>
      </c>
      <c r="K93" s="8" t="n">
        <v>0</v>
      </c>
      <c r="L93" s="7" t="n">
        <v>0</v>
      </c>
    </row>
    <row r="94" customFormat="false" ht="15" hidden="false" customHeight="false" outlineLevel="0" collapsed="false">
      <c r="A94" s="6" t="n">
        <v>8</v>
      </c>
      <c r="B94" s="6" t="s">
        <v>136</v>
      </c>
      <c r="C94" s="6" t="s">
        <v>58</v>
      </c>
      <c r="D94" s="6" t="s">
        <v>97</v>
      </c>
      <c r="E94" s="10" t="str">
        <f aca="false">INDEX(Dim_Factory!$C$4:$C$15,MATCH(C94,Dim_Factory!$A$4:$A$15,0))</f>
        <v>S</v>
      </c>
      <c r="F94" s="10" t="str">
        <f aca="false">INDEX(Dim_Stream!$D$4:$D$10,MATCH(D94,Dim_Stream!$A$4:$A$10,0))</f>
        <v>105</v>
      </c>
      <c r="G94" s="11" t="n">
        <v>1.2</v>
      </c>
      <c r="H94" s="11" t="n">
        <v>0.8</v>
      </c>
      <c r="I94" s="12" t="n">
        <f aca="false">G94-H94</f>
        <v>0.4</v>
      </c>
      <c r="J94" s="8" t="n">
        <v>1280</v>
      </c>
      <c r="K94" s="8" t="n">
        <v>252</v>
      </c>
      <c r="L94" s="7" t="n">
        <v>0</v>
      </c>
    </row>
    <row r="95" customFormat="false" ht="15" hidden="false" customHeight="false" outlineLevel="0" collapsed="false">
      <c r="A95" s="6" t="n">
        <v>8</v>
      </c>
      <c r="B95" s="6" t="s">
        <v>136</v>
      </c>
      <c r="C95" s="6" t="s">
        <v>58</v>
      </c>
      <c r="D95" s="6" t="s">
        <v>94</v>
      </c>
      <c r="E95" s="10" t="str">
        <f aca="false">INDEX(Dim_Factory!$C$4:$C$15,MATCH(C95,Dim_Factory!$A$4:$A$15,0))</f>
        <v>S</v>
      </c>
      <c r="F95" s="10" t="str">
        <f aca="false">INDEX(Dim_Stream!$D$4:$D$10,MATCH(D95,Dim_Stream!$A$4:$A$10,0))</f>
        <v>105</v>
      </c>
      <c r="G95" s="11" t="n">
        <v>5.1</v>
      </c>
      <c r="H95" s="11" t="n">
        <v>3.3</v>
      </c>
      <c r="I95" s="12" t="n">
        <f aca="false">G95-H95</f>
        <v>1.8</v>
      </c>
      <c r="J95" s="8" t="n">
        <v>7320</v>
      </c>
      <c r="K95" s="8" t="n">
        <v>1733</v>
      </c>
      <c r="L95" s="7" t="n">
        <v>0</v>
      </c>
    </row>
    <row r="96" customFormat="false" ht="15" hidden="false" customHeight="false" outlineLevel="0" collapsed="false">
      <c r="A96" s="6" t="n">
        <v>8</v>
      </c>
      <c r="B96" s="6" t="s">
        <v>136</v>
      </c>
      <c r="C96" s="6" t="s">
        <v>62</v>
      </c>
      <c r="D96" s="6" t="s">
        <v>105</v>
      </c>
      <c r="E96" s="10" t="str">
        <f aca="false">INDEX(Dim_Factory!$C$4:$C$15,MATCH(C96,Dim_Factory!$A$4:$A$15,0))</f>
        <v>M</v>
      </c>
      <c r="F96" s="10" t="str">
        <f aca="false">INDEX(Dim_Stream!$D$4:$D$10,MATCH(D96,Dim_Stream!$A$4:$A$10,0))</f>
        <v>105</v>
      </c>
      <c r="G96" s="11" t="n">
        <v>7.5</v>
      </c>
      <c r="H96" s="11" t="n">
        <v>4.9</v>
      </c>
      <c r="I96" s="12" t="n">
        <f aca="false">G96-H96</f>
        <v>2.6</v>
      </c>
      <c r="J96" s="8" t="n">
        <v>5220</v>
      </c>
      <c r="K96" s="8" t="n">
        <v>1887</v>
      </c>
      <c r="L96" s="7" t="n">
        <v>0</v>
      </c>
    </row>
    <row r="97" customFormat="false" ht="15" hidden="false" customHeight="false" outlineLevel="0" collapsed="false">
      <c r="A97" s="6" t="n">
        <v>8</v>
      </c>
      <c r="B97" s="6" t="s">
        <v>136</v>
      </c>
      <c r="C97" s="6" t="s">
        <v>62</v>
      </c>
      <c r="D97" s="6" t="s">
        <v>97</v>
      </c>
      <c r="E97" s="10" t="str">
        <f aca="false">INDEX(Dim_Factory!$C$4:$C$15,MATCH(C97,Dim_Factory!$A$4:$A$15,0))</f>
        <v>M</v>
      </c>
      <c r="F97" s="10" t="str">
        <f aca="false">INDEX(Dim_Stream!$D$4:$D$10,MATCH(D97,Dim_Stream!$A$4:$A$10,0))</f>
        <v>105</v>
      </c>
      <c r="G97" s="11" t="n">
        <v>2</v>
      </c>
      <c r="H97" s="11" t="n">
        <v>1.3</v>
      </c>
      <c r="I97" s="12" t="n">
        <f aca="false">G97-H97</f>
        <v>0.7</v>
      </c>
      <c r="J97" s="8" t="n">
        <v>2080</v>
      </c>
      <c r="K97" s="8" t="n">
        <v>410</v>
      </c>
      <c r="L97" s="7" t="n">
        <v>0</v>
      </c>
    </row>
    <row r="98" customFormat="false" ht="15" hidden="false" customHeight="false" outlineLevel="0" collapsed="false">
      <c r="A98" s="6" t="n">
        <v>8</v>
      </c>
      <c r="B98" s="6" t="s">
        <v>136</v>
      </c>
      <c r="C98" s="6" t="s">
        <v>65</v>
      </c>
      <c r="D98" s="6" t="s">
        <v>89</v>
      </c>
      <c r="E98" s="10" t="str">
        <f aca="false">INDEX(Dim_Factory!$C$4:$C$15,MATCH(C98,Dim_Factory!$A$4:$A$15,0))</f>
        <v>L</v>
      </c>
      <c r="F98" s="10" t="str">
        <f aca="false">INDEX(Dim_Stream!$D$4:$D$10,MATCH(D98,Dim_Stream!$A$4:$A$10,0))</f>
        <v>105</v>
      </c>
      <c r="G98" s="11" t="n">
        <v>18</v>
      </c>
      <c r="H98" s="11" t="n">
        <v>11.6</v>
      </c>
      <c r="I98" s="12" t="n">
        <f aca="false">G98-H98</f>
        <v>6.4</v>
      </c>
      <c r="J98" s="8" t="n">
        <v>18530</v>
      </c>
      <c r="K98" s="8" t="n">
        <v>4871</v>
      </c>
      <c r="L98" s="7" t="n">
        <v>1</v>
      </c>
    </row>
    <row r="99" customFormat="false" ht="15" hidden="false" customHeight="false" outlineLevel="0" collapsed="false">
      <c r="A99" s="6" t="n">
        <v>8</v>
      </c>
      <c r="B99" s="6" t="s">
        <v>136</v>
      </c>
      <c r="C99" s="6" t="s">
        <v>65</v>
      </c>
      <c r="D99" s="6" t="s">
        <v>94</v>
      </c>
      <c r="E99" s="10" t="str">
        <f aca="false">INDEX(Dim_Factory!$C$4:$C$15,MATCH(C99,Dim_Factory!$A$4:$A$15,0))</f>
        <v>L</v>
      </c>
      <c r="F99" s="10" t="str">
        <f aca="false">INDEX(Dim_Stream!$D$4:$D$10,MATCH(D99,Dim_Stream!$A$4:$A$10,0))</f>
        <v>105</v>
      </c>
      <c r="G99" s="11" t="n">
        <v>12.4</v>
      </c>
      <c r="H99" s="11" t="n">
        <v>8.1</v>
      </c>
      <c r="I99" s="12" t="n">
        <f aca="false">G99-H99</f>
        <v>4.3</v>
      </c>
      <c r="J99" s="8" t="n">
        <v>17970</v>
      </c>
      <c r="K99" s="8" t="n">
        <v>4253</v>
      </c>
      <c r="L99" s="7" t="n">
        <v>1</v>
      </c>
    </row>
    <row r="100" customFormat="false" ht="15" hidden="false" customHeight="false" outlineLevel="0" collapsed="false">
      <c r="A100" s="6" t="n">
        <v>8</v>
      </c>
      <c r="B100" s="6" t="s">
        <v>136</v>
      </c>
      <c r="C100" s="6" t="s">
        <v>65</v>
      </c>
      <c r="D100" s="6" t="s">
        <v>109</v>
      </c>
      <c r="E100" s="10" t="str">
        <f aca="false">INDEX(Dim_Factory!$C$4:$C$15,MATCH(C100,Dim_Factory!$A$4:$A$15,0))</f>
        <v>L</v>
      </c>
      <c r="F100" s="10" t="str">
        <f aca="false">INDEX(Dim_Stream!$D$4:$D$10,MATCH(D100,Dim_Stream!$A$4:$A$10,0))</f>
        <v>106</v>
      </c>
      <c r="G100" s="11" t="n">
        <v>0.5</v>
      </c>
      <c r="H100" s="11" t="n">
        <v>0</v>
      </c>
      <c r="I100" s="12" t="n">
        <f aca="false">G100-H100</f>
        <v>0.5</v>
      </c>
      <c r="J100" s="8" t="n">
        <v>0</v>
      </c>
      <c r="K100" s="8" t="n">
        <v>0</v>
      </c>
      <c r="L100" s="7" t="n">
        <v>0</v>
      </c>
    </row>
    <row r="101" customFormat="false" ht="15" hidden="false" customHeight="false" outlineLevel="0" collapsed="false">
      <c r="A101" s="6" t="n">
        <v>8</v>
      </c>
      <c r="B101" s="6" t="s">
        <v>136</v>
      </c>
      <c r="C101" s="6" t="s">
        <v>70</v>
      </c>
      <c r="D101" s="6" t="s">
        <v>97</v>
      </c>
      <c r="E101" s="10" t="str">
        <f aca="false">INDEX(Dim_Factory!$C$4:$C$15,MATCH(C101,Dim_Factory!$A$4:$A$15,0))</f>
        <v>S</v>
      </c>
      <c r="F101" s="10" t="str">
        <f aca="false">INDEX(Dim_Stream!$D$4:$D$10,MATCH(D101,Dim_Stream!$A$4:$A$10,0))</f>
        <v>105</v>
      </c>
      <c r="G101" s="11" t="n">
        <v>1.2</v>
      </c>
      <c r="H101" s="11" t="n">
        <v>0.8</v>
      </c>
      <c r="I101" s="12" t="n">
        <f aca="false">G101-H101</f>
        <v>0.4</v>
      </c>
      <c r="J101" s="8" t="n">
        <v>1280</v>
      </c>
      <c r="K101" s="8" t="n">
        <v>252</v>
      </c>
      <c r="L101" s="7" t="n">
        <v>0</v>
      </c>
    </row>
    <row r="102" customFormat="false" ht="15" hidden="false" customHeight="false" outlineLevel="0" collapsed="false">
      <c r="A102" s="6" t="n">
        <v>8</v>
      </c>
      <c r="B102" s="6" t="s">
        <v>136</v>
      </c>
      <c r="C102" s="6" t="s">
        <v>70</v>
      </c>
      <c r="D102" s="6" t="s">
        <v>115</v>
      </c>
      <c r="E102" s="10" t="str">
        <f aca="false">INDEX(Dim_Factory!$C$4:$C$15,MATCH(C102,Dim_Factory!$A$4:$A$15,0))</f>
        <v>S</v>
      </c>
      <c r="F102" s="10" t="str">
        <f aca="false">INDEX(Dim_Stream!$D$4:$D$10,MATCH(D102,Dim_Stream!$A$4:$A$10,0))</f>
        <v>101</v>
      </c>
      <c r="G102" s="11" t="n">
        <v>3.8</v>
      </c>
      <c r="H102" s="11" t="n">
        <v>0</v>
      </c>
      <c r="I102" s="12" t="n">
        <f aca="false">G102-H102</f>
        <v>3.8</v>
      </c>
      <c r="J102" s="8" t="n">
        <v>0</v>
      </c>
      <c r="K102" s="8" t="n">
        <v>0</v>
      </c>
      <c r="L102" s="7" t="n">
        <v>0</v>
      </c>
    </row>
    <row r="103" customFormat="false" ht="15" hidden="false" customHeight="false" outlineLevel="0" collapsed="false">
      <c r="A103" s="6" t="n">
        <v>8</v>
      </c>
      <c r="B103" s="6" t="s">
        <v>136</v>
      </c>
      <c r="C103" s="6" t="s">
        <v>73</v>
      </c>
      <c r="D103" s="6" t="s">
        <v>101</v>
      </c>
      <c r="E103" s="10" t="str">
        <f aca="false">INDEX(Dim_Factory!$C$4:$C$15,MATCH(C103,Dim_Factory!$A$4:$A$15,0))</f>
        <v>S</v>
      </c>
      <c r="F103" s="10" t="str">
        <f aca="false">INDEX(Dim_Stream!$D$4:$D$10,MATCH(D103,Dim_Stream!$A$4:$A$10,0))</f>
        <v>105</v>
      </c>
      <c r="G103" s="11" t="n">
        <v>7.7</v>
      </c>
      <c r="H103" s="11" t="n">
        <v>5</v>
      </c>
      <c r="I103" s="12" t="n">
        <f aca="false">G103-H103</f>
        <v>2.7</v>
      </c>
      <c r="J103" s="8" t="n">
        <v>3990</v>
      </c>
      <c r="K103" s="8" t="n">
        <v>1050</v>
      </c>
      <c r="L103" s="7" t="n">
        <v>0</v>
      </c>
    </row>
    <row r="104" customFormat="false" ht="15" hidden="false" customHeight="false" outlineLevel="0" collapsed="false">
      <c r="A104" s="6" t="n">
        <v>8</v>
      </c>
      <c r="B104" s="6" t="s">
        <v>136</v>
      </c>
      <c r="C104" s="6" t="s">
        <v>73</v>
      </c>
      <c r="D104" s="6" t="s">
        <v>109</v>
      </c>
      <c r="E104" s="10" t="str">
        <f aca="false">INDEX(Dim_Factory!$C$4:$C$15,MATCH(C104,Dim_Factory!$A$4:$A$15,0))</f>
        <v>S</v>
      </c>
      <c r="F104" s="10" t="str">
        <f aca="false">INDEX(Dim_Stream!$D$4:$D$10,MATCH(D104,Dim_Stream!$A$4:$A$10,0))</f>
        <v>106</v>
      </c>
      <c r="G104" s="11" t="n">
        <v>0.5</v>
      </c>
      <c r="H104" s="11" t="n">
        <v>0</v>
      </c>
      <c r="I104" s="12" t="n">
        <f aca="false">G104-H104</f>
        <v>0.5</v>
      </c>
      <c r="J104" s="8" t="n">
        <v>0</v>
      </c>
      <c r="K104" s="8" t="n">
        <v>0</v>
      </c>
      <c r="L104" s="7" t="n">
        <v>0</v>
      </c>
    </row>
    <row r="105" customFormat="false" ht="15" hidden="false" customHeight="false" outlineLevel="0" collapsed="false">
      <c r="A105" s="6" t="n">
        <v>8</v>
      </c>
      <c r="B105" s="6" t="s">
        <v>136</v>
      </c>
      <c r="C105" s="6" t="s">
        <v>74</v>
      </c>
      <c r="D105" s="6" t="s">
        <v>94</v>
      </c>
      <c r="E105" s="10" t="str">
        <f aca="false">INDEX(Dim_Factory!$C$4:$C$15,MATCH(C105,Dim_Factory!$A$4:$A$15,0))</f>
        <v>M</v>
      </c>
      <c r="F105" s="10" t="str">
        <f aca="false">INDEX(Dim_Stream!$D$4:$D$10,MATCH(D105,Dim_Stream!$A$4:$A$10,0))</f>
        <v>105</v>
      </c>
      <c r="G105" s="11" t="n">
        <v>8.1</v>
      </c>
      <c r="H105" s="11" t="n">
        <v>5.3</v>
      </c>
      <c r="I105" s="12" t="n">
        <f aca="false">G105-H105</f>
        <v>2.8</v>
      </c>
      <c r="J105" s="8" t="n">
        <v>11760</v>
      </c>
      <c r="K105" s="8" t="n">
        <v>2783</v>
      </c>
      <c r="L105" s="7" t="n">
        <v>1</v>
      </c>
    </row>
    <row r="106" customFormat="false" ht="15" hidden="false" customHeight="false" outlineLevel="0" collapsed="false">
      <c r="A106" s="6" t="n">
        <v>8</v>
      </c>
      <c r="B106" s="6" t="s">
        <v>136</v>
      </c>
      <c r="C106" s="6" t="s">
        <v>74</v>
      </c>
      <c r="D106" s="6" t="s">
        <v>97</v>
      </c>
      <c r="E106" s="10" t="str">
        <f aca="false">INDEX(Dim_Factory!$C$4:$C$15,MATCH(C106,Dim_Factory!$A$4:$A$15,0))</f>
        <v>M</v>
      </c>
      <c r="F106" s="10" t="str">
        <f aca="false">INDEX(Dim_Stream!$D$4:$D$10,MATCH(D106,Dim_Stream!$A$4:$A$10,0))</f>
        <v>105</v>
      </c>
      <c r="G106" s="11" t="n">
        <v>2</v>
      </c>
      <c r="H106" s="11" t="n">
        <v>1.3</v>
      </c>
      <c r="I106" s="12" t="n">
        <f aca="false">G106-H106</f>
        <v>0.7</v>
      </c>
      <c r="J106" s="8" t="n">
        <v>2080</v>
      </c>
      <c r="K106" s="8" t="n">
        <v>410</v>
      </c>
      <c r="L106" s="7" t="n">
        <v>0</v>
      </c>
    </row>
    <row r="107" customFormat="false" ht="15" hidden="false" customHeight="false" outlineLevel="0" collapsed="false">
      <c r="A107" s="6" t="n">
        <v>8</v>
      </c>
      <c r="B107" s="6" t="s">
        <v>136</v>
      </c>
      <c r="C107" s="6" t="s">
        <v>74</v>
      </c>
      <c r="D107" s="6" t="s">
        <v>109</v>
      </c>
      <c r="E107" s="10" t="str">
        <f aca="false">INDEX(Dim_Factory!$C$4:$C$15,MATCH(C107,Dim_Factory!$A$4:$A$15,0))</f>
        <v>M</v>
      </c>
      <c r="F107" s="10" t="str">
        <f aca="false">INDEX(Dim_Stream!$D$4:$D$10,MATCH(D107,Dim_Stream!$A$4:$A$10,0))</f>
        <v>106</v>
      </c>
      <c r="G107" s="11" t="n">
        <v>0.5</v>
      </c>
      <c r="H107" s="11" t="n">
        <v>0</v>
      </c>
      <c r="I107" s="12" t="n">
        <f aca="false">G107-H107</f>
        <v>0.5</v>
      </c>
      <c r="J107" s="8" t="n">
        <v>0</v>
      </c>
      <c r="K107" s="8" t="n">
        <v>0</v>
      </c>
      <c r="L107" s="7" t="n">
        <v>0</v>
      </c>
    </row>
    <row r="108" customFormat="false" ht="15" hidden="false" customHeight="false" outlineLevel="0" collapsed="false">
      <c r="A108" s="6" t="n">
        <v>8</v>
      </c>
      <c r="B108" s="6" t="s">
        <v>136</v>
      </c>
      <c r="C108" s="6" t="s">
        <v>78</v>
      </c>
      <c r="D108" s="6" t="s">
        <v>105</v>
      </c>
      <c r="E108" s="10" t="str">
        <f aca="false">INDEX(Dim_Factory!$C$4:$C$15,MATCH(C108,Dim_Factory!$A$4:$A$15,0))</f>
        <v>S</v>
      </c>
      <c r="F108" s="10" t="str">
        <f aca="false">INDEX(Dim_Stream!$D$4:$D$10,MATCH(D108,Dim_Stream!$A$4:$A$10,0))</f>
        <v>105</v>
      </c>
      <c r="G108" s="11" t="n">
        <v>4.8</v>
      </c>
      <c r="H108" s="11" t="n">
        <v>3.1</v>
      </c>
      <c r="I108" s="12" t="n">
        <f aca="false">G108-H108</f>
        <v>1.7</v>
      </c>
      <c r="J108" s="8" t="n">
        <v>3300</v>
      </c>
      <c r="K108" s="8" t="n">
        <v>1194</v>
      </c>
      <c r="L108" s="7" t="n">
        <v>0</v>
      </c>
    </row>
    <row r="109" customFormat="false" ht="15" hidden="false" customHeight="false" outlineLevel="0" collapsed="false">
      <c r="A109" s="6" t="n">
        <v>8</v>
      </c>
      <c r="B109" s="6" t="s">
        <v>136</v>
      </c>
      <c r="C109" s="6" t="s">
        <v>78</v>
      </c>
      <c r="D109" s="6" t="s">
        <v>97</v>
      </c>
      <c r="E109" s="10" t="str">
        <f aca="false">INDEX(Dim_Factory!$C$4:$C$15,MATCH(C109,Dim_Factory!$A$4:$A$15,0))</f>
        <v>S</v>
      </c>
      <c r="F109" s="10" t="str">
        <f aca="false">INDEX(Dim_Stream!$D$4:$D$10,MATCH(D109,Dim_Stream!$A$4:$A$10,0))</f>
        <v>105</v>
      </c>
      <c r="G109" s="11" t="n">
        <v>1.2</v>
      </c>
      <c r="H109" s="11" t="n">
        <v>0.8</v>
      </c>
      <c r="I109" s="12" t="n">
        <f aca="false">G109-H109</f>
        <v>0.4</v>
      </c>
      <c r="J109" s="8" t="n">
        <v>1280</v>
      </c>
      <c r="K109" s="8" t="n">
        <v>252</v>
      </c>
      <c r="L109" s="7" t="n">
        <v>0</v>
      </c>
    </row>
    <row r="110" customFormat="false" ht="15" hidden="false" customHeight="false" outlineLevel="0" collapsed="false">
      <c r="A110" s="6" t="n">
        <v>9</v>
      </c>
      <c r="B110" s="6" t="s">
        <v>137</v>
      </c>
      <c r="C110" s="6" t="s">
        <v>41</v>
      </c>
      <c r="D110" s="6" t="s">
        <v>89</v>
      </c>
      <c r="E110" s="10" t="str">
        <f aca="false">INDEX(Dim_Factory!$C$4:$C$15,MATCH(C110,Dim_Factory!$A$4:$A$15,0))</f>
        <v>M</v>
      </c>
      <c r="F110" s="10" t="str">
        <f aca="false">INDEX(Dim_Stream!$D$4:$D$10,MATCH(D110,Dim_Stream!$A$4:$A$10,0))</f>
        <v>105</v>
      </c>
      <c r="G110" s="11" t="n">
        <v>8.3</v>
      </c>
      <c r="H110" s="11" t="n">
        <v>6</v>
      </c>
      <c r="I110" s="12" t="n">
        <f aca="false">G110-H110</f>
        <v>2.3</v>
      </c>
      <c r="J110" s="8" t="n">
        <v>10800</v>
      </c>
      <c r="K110" s="8" t="n">
        <v>2697</v>
      </c>
      <c r="L110" s="7" t="n">
        <v>0</v>
      </c>
    </row>
    <row r="111" customFormat="false" ht="15" hidden="false" customHeight="false" outlineLevel="0" collapsed="false">
      <c r="A111" s="6" t="n">
        <v>9</v>
      </c>
      <c r="B111" s="6" t="s">
        <v>137</v>
      </c>
      <c r="C111" s="6" t="s">
        <v>41</v>
      </c>
      <c r="D111" s="6" t="s">
        <v>115</v>
      </c>
      <c r="E111" s="10" t="str">
        <f aca="false">INDEX(Dim_Factory!$C$4:$C$15,MATCH(C111,Dim_Factory!$A$4:$A$15,0))</f>
        <v>M</v>
      </c>
      <c r="F111" s="10" t="str">
        <f aca="false">INDEX(Dim_Stream!$D$4:$D$10,MATCH(D111,Dim_Stream!$A$4:$A$10,0))</f>
        <v>101</v>
      </c>
      <c r="G111" s="11" t="n">
        <v>4.3</v>
      </c>
      <c r="H111" s="11" t="n">
        <v>0</v>
      </c>
      <c r="I111" s="12" t="n">
        <f aca="false">G111-H111</f>
        <v>4.3</v>
      </c>
      <c r="J111" s="8" t="n">
        <v>0</v>
      </c>
      <c r="K111" s="8" t="n">
        <v>0</v>
      </c>
      <c r="L111" s="7" t="n">
        <v>0</v>
      </c>
    </row>
    <row r="112" customFormat="false" ht="15" hidden="false" customHeight="false" outlineLevel="0" collapsed="false">
      <c r="A112" s="6" t="n">
        <v>9</v>
      </c>
      <c r="B112" s="6" t="s">
        <v>137</v>
      </c>
      <c r="C112" s="6" t="s">
        <v>47</v>
      </c>
      <c r="D112" s="6" t="s">
        <v>94</v>
      </c>
      <c r="E112" s="10" t="str">
        <f aca="false">INDEX(Dim_Factory!$C$4:$C$15,MATCH(C112,Dim_Factory!$A$4:$A$15,0))</f>
        <v>S</v>
      </c>
      <c r="F112" s="10" t="str">
        <f aca="false">INDEX(Dim_Stream!$D$4:$D$10,MATCH(D112,Dim_Stream!$A$4:$A$10,0))</f>
        <v>105</v>
      </c>
      <c r="G112" s="11" t="n">
        <v>5.5</v>
      </c>
      <c r="H112" s="11" t="n">
        <v>4</v>
      </c>
      <c r="I112" s="12" t="n">
        <f aca="false">G112-H112</f>
        <v>1.5</v>
      </c>
      <c r="J112" s="8" t="n">
        <v>10000</v>
      </c>
      <c r="K112" s="8" t="n">
        <v>2248</v>
      </c>
      <c r="L112" s="7" t="n">
        <v>0</v>
      </c>
    </row>
    <row r="113" customFormat="false" ht="15" hidden="false" customHeight="false" outlineLevel="0" collapsed="false">
      <c r="A113" s="6" t="n">
        <v>9</v>
      </c>
      <c r="B113" s="6" t="s">
        <v>137</v>
      </c>
      <c r="C113" s="6" t="s">
        <v>52</v>
      </c>
      <c r="D113" s="6" t="s">
        <v>101</v>
      </c>
      <c r="E113" s="10" t="str">
        <f aca="false">INDEX(Dim_Factory!$C$4:$C$15,MATCH(C113,Dim_Factory!$A$4:$A$15,0))</f>
        <v>S</v>
      </c>
      <c r="F113" s="10" t="str">
        <f aca="false">INDEX(Dim_Stream!$D$4:$D$10,MATCH(D113,Dim_Stream!$A$4:$A$10,0))</f>
        <v>105</v>
      </c>
      <c r="G113" s="11" t="n">
        <v>9</v>
      </c>
      <c r="H113" s="11" t="n">
        <v>6.5</v>
      </c>
      <c r="I113" s="12" t="n">
        <f aca="false">G113-H113</f>
        <v>2.5</v>
      </c>
      <c r="J113" s="8" t="n">
        <v>5850</v>
      </c>
      <c r="K113" s="8" t="n">
        <v>1461</v>
      </c>
      <c r="L113" s="7" t="n">
        <v>1</v>
      </c>
    </row>
    <row r="114" customFormat="false" ht="15" hidden="false" customHeight="false" outlineLevel="0" collapsed="false">
      <c r="A114" s="6" t="n">
        <v>9</v>
      </c>
      <c r="B114" s="6" t="s">
        <v>137</v>
      </c>
      <c r="C114" s="6" t="s">
        <v>52</v>
      </c>
      <c r="D114" s="6" t="s">
        <v>109</v>
      </c>
      <c r="E114" s="10" t="str">
        <f aca="false">INDEX(Dim_Factory!$C$4:$C$15,MATCH(C114,Dim_Factory!$A$4:$A$15,0))</f>
        <v>S</v>
      </c>
      <c r="F114" s="10" t="str">
        <f aca="false">INDEX(Dim_Stream!$D$4:$D$10,MATCH(D114,Dim_Stream!$A$4:$A$10,0))</f>
        <v>106</v>
      </c>
      <c r="G114" s="11" t="n">
        <v>0.6</v>
      </c>
      <c r="H114" s="11" t="n">
        <v>0</v>
      </c>
      <c r="I114" s="12" t="n">
        <f aca="false">G114-H114</f>
        <v>0.6</v>
      </c>
      <c r="J114" s="8" t="n">
        <v>0</v>
      </c>
      <c r="K114" s="8" t="n">
        <v>0</v>
      </c>
      <c r="L114" s="7" t="n">
        <v>0</v>
      </c>
    </row>
    <row r="115" customFormat="false" ht="15" hidden="false" customHeight="false" outlineLevel="0" collapsed="false">
      <c r="A115" s="6" t="n">
        <v>9</v>
      </c>
      <c r="B115" s="6" t="s">
        <v>137</v>
      </c>
      <c r="C115" s="6" t="s">
        <v>55</v>
      </c>
      <c r="D115" s="6" t="s">
        <v>89</v>
      </c>
      <c r="E115" s="10" t="str">
        <f aca="false">INDEX(Dim_Factory!$C$4:$C$15,MATCH(C115,Dim_Factory!$A$4:$A$15,0))</f>
        <v>M</v>
      </c>
      <c r="F115" s="10" t="str">
        <f aca="false">INDEX(Dim_Stream!$D$4:$D$10,MATCH(D115,Dim_Stream!$A$4:$A$10,0))</f>
        <v>105</v>
      </c>
      <c r="G115" s="11" t="n">
        <v>8.3</v>
      </c>
      <c r="H115" s="11" t="n">
        <v>6</v>
      </c>
      <c r="I115" s="12" t="n">
        <f aca="false">G115-H115</f>
        <v>2.3</v>
      </c>
      <c r="J115" s="8" t="n">
        <v>10800</v>
      </c>
      <c r="K115" s="8" t="n">
        <v>2697</v>
      </c>
      <c r="L115" s="7" t="n">
        <v>0</v>
      </c>
    </row>
    <row r="116" customFormat="false" ht="15" hidden="false" customHeight="false" outlineLevel="0" collapsed="false">
      <c r="A116" s="6" t="n">
        <v>9</v>
      </c>
      <c r="B116" s="6" t="s">
        <v>137</v>
      </c>
      <c r="C116" s="6" t="s">
        <v>55</v>
      </c>
      <c r="D116" s="6" t="s">
        <v>109</v>
      </c>
      <c r="E116" s="10" t="str">
        <f aca="false">INDEX(Dim_Factory!$C$4:$C$15,MATCH(C116,Dim_Factory!$A$4:$A$15,0))</f>
        <v>M</v>
      </c>
      <c r="F116" s="10" t="str">
        <f aca="false">INDEX(Dim_Stream!$D$4:$D$10,MATCH(D116,Dim_Stream!$A$4:$A$10,0))</f>
        <v>106</v>
      </c>
      <c r="G116" s="11" t="n">
        <v>0.6</v>
      </c>
      <c r="H116" s="11" t="n">
        <v>0</v>
      </c>
      <c r="I116" s="12" t="n">
        <f aca="false">G116-H116</f>
        <v>0.6</v>
      </c>
      <c r="J116" s="8" t="n">
        <v>0</v>
      </c>
      <c r="K116" s="8" t="n">
        <v>0</v>
      </c>
      <c r="L116" s="7" t="n">
        <v>0</v>
      </c>
    </row>
    <row r="117" customFormat="false" ht="15" hidden="false" customHeight="false" outlineLevel="0" collapsed="false">
      <c r="A117" s="6" t="n">
        <v>9</v>
      </c>
      <c r="B117" s="6" t="s">
        <v>137</v>
      </c>
      <c r="C117" s="6" t="s">
        <v>58</v>
      </c>
      <c r="D117" s="6" t="s">
        <v>97</v>
      </c>
      <c r="E117" s="10" t="str">
        <f aca="false">INDEX(Dim_Factory!$C$4:$C$15,MATCH(C117,Dim_Factory!$A$4:$A$15,0))</f>
        <v>S</v>
      </c>
      <c r="F117" s="10" t="str">
        <f aca="false">INDEX(Dim_Stream!$D$4:$D$10,MATCH(D117,Dim_Stream!$A$4:$A$10,0))</f>
        <v>105</v>
      </c>
      <c r="G117" s="11" t="n">
        <v>1.1</v>
      </c>
      <c r="H117" s="11" t="n">
        <v>0.8</v>
      </c>
      <c r="I117" s="12" t="n">
        <f aca="false">G117-H117</f>
        <v>0.3</v>
      </c>
      <c r="J117" s="8" t="n">
        <v>1440</v>
      </c>
      <c r="K117" s="8" t="n">
        <v>270</v>
      </c>
      <c r="L117" s="7" t="n">
        <v>0</v>
      </c>
    </row>
    <row r="118" customFormat="false" ht="15" hidden="false" customHeight="false" outlineLevel="0" collapsed="false">
      <c r="A118" s="6" t="n">
        <v>9</v>
      </c>
      <c r="B118" s="6" t="s">
        <v>137</v>
      </c>
      <c r="C118" s="6" t="s">
        <v>58</v>
      </c>
      <c r="D118" s="6" t="s">
        <v>94</v>
      </c>
      <c r="E118" s="10" t="str">
        <f aca="false">INDEX(Dim_Factory!$C$4:$C$15,MATCH(C118,Dim_Factory!$A$4:$A$15,0))</f>
        <v>S</v>
      </c>
      <c r="F118" s="10" t="str">
        <f aca="false">INDEX(Dim_Stream!$D$4:$D$10,MATCH(D118,Dim_Stream!$A$4:$A$10,0))</f>
        <v>105</v>
      </c>
      <c r="G118" s="11" t="n">
        <v>5.5</v>
      </c>
      <c r="H118" s="11" t="n">
        <v>4</v>
      </c>
      <c r="I118" s="12" t="n">
        <f aca="false">G118-H118</f>
        <v>1.5</v>
      </c>
      <c r="J118" s="8" t="n">
        <v>10000</v>
      </c>
      <c r="K118" s="8" t="n">
        <v>2248</v>
      </c>
      <c r="L118" s="7" t="n">
        <v>0</v>
      </c>
    </row>
    <row r="119" customFormat="false" ht="15" hidden="false" customHeight="false" outlineLevel="0" collapsed="false">
      <c r="A119" s="6" t="n">
        <v>9</v>
      </c>
      <c r="B119" s="6" t="s">
        <v>137</v>
      </c>
      <c r="C119" s="6" t="s">
        <v>62</v>
      </c>
      <c r="D119" s="6" t="s">
        <v>105</v>
      </c>
      <c r="E119" s="10" t="str">
        <f aca="false">INDEX(Dim_Factory!$C$4:$C$15,MATCH(C119,Dim_Factory!$A$4:$A$15,0))</f>
        <v>M</v>
      </c>
      <c r="F119" s="10" t="str">
        <f aca="false">INDEX(Dim_Stream!$D$4:$D$10,MATCH(D119,Dim_Stream!$A$4:$A$10,0))</f>
        <v>105</v>
      </c>
      <c r="G119" s="11" t="n">
        <v>8.6</v>
      </c>
      <c r="H119" s="11" t="n">
        <v>6.2</v>
      </c>
      <c r="I119" s="12" t="n">
        <f aca="false">G119-H119</f>
        <v>2.4</v>
      </c>
      <c r="J119" s="8" t="n">
        <v>7440</v>
      </c>
      <c r="K119" s="8" t="n">
        <v>2555</v>
      </c>
      <c r="L119" s="7" t="n">
        <v>1</v>
      </c>
    </row>
    <row r="120" customFormat="false" ht="15" hidden="false" customHeight="false" outlineLevel="0" collapsed="false">
      <c r="A120" s="6" t="n">
        <v>9</v>
      </c>
      <c r="B120" s="6" t="s">
        <v>137</v>
      </c>
      <c r="C120" s="6" t="s">
        <v>62</v>
      </c>
      <c r="D120" s="6" t="s">
        <v>97</v>
      </c>
      <c r="E120" s="10" t="str">
        <f aca="false">INDEX(Dim_Factory!$C$4:$C$15,MATCH(C120,Dim_Factory!$A$4:$A$15,0))</f>
        <v>M</v>
      </c>
      <c r="F120" s="10" t="str">
        <f aca="false">INDEX(Dim_Stream!$D$4:$D$10,MATCH(D120,Dim_Stream!$A$4:$A$10,0))</f>
        <v>105</v>
      </c>
      <c r="G120" s="11" t="n">
        <v>1.8</v>
      </c>
      <c r="H120" s="11" t="n">
        <v>1.3</v>
      </c>
      <c r="I120" s="12" t="n">
        <f aca="false">G120-H120</f>
        <v>0.5</v>
      </c>
      <c r="J120" s="8" t="n">
        <v>2340</v>
      </c>
      <c r="K120" s="8" t="n">
        <v>438</v>
      </c>
      <c r="L120" s="7" t="n">
        <v>0</v>
      </c>
    </row>
    <row r="121" customFormat="false" ht="15" hidden="false" customHeight="false" outlineLevel="0" collapsed="false">
      <c r="A121" s="6" t="n">
        <v>9</v>
      </c>
      <c r="B121" s="6" t="s">
        <v>137</v>
      </c>
      <c r="C121" s="6" t="s">
        <v>65</v>
      </c>
      <c r="D121" s="6" t="s">
        <v>89</v>
      </c>
      <c r="E121" s="10" t="str">
        <f aca="false">INDEX(Dim_Factory!$C$4:$C$15,MATCH(C121,Dim_Factory!$A$4:$A$15,0))</f>
        <v>L</v>
      </c>
      <c r="F121" s="10" t="str">
        <f aca="false">INDEX(Dim_Stream!$D$4:$D$10,MATCH(D121,Dim_Stream!$A$4:$A$10,0))</f>
        <v>105</v>
      </c>
      <c r="G121" s="11" t="n">
        <v>12.4</v>
      </c>
      <c r="H121" s="11" t="n">
        <v>9</v>
      </c>
      <c r="I121" s="12" t="n">
        <f aca="false">G121-H121</f>
        <v>3.4</v>
      </c>
      <c r="J121" s="8" t="n">
        <v>16200</v>
      </c>
      <c r="K121" s="8" t="n">
        <v>4046</v>
      </c>
      <c r="L121" s="7" t="n">
        <v>1</v>
      </c>
    </row>
    <row r="122" customFormat="false" ht="15" hidden="false" customHeight="false" outlineLevel="0" collapsed="false">
      <c r="A122" s="6" t="n">
        <v>9</v>
      </c>
      <c r="B122" s="6" t="s">
        <v>137</v>
      </c>
      <c r="C122" s="6" t="s">
        <v>65</v>
      </c>
      <c r="D122" s="6" t="s">
        <v>94</v>
      </c>
      <c r="E122" s="10" t="str">
        <f aca="false">INDEX(Dim_Factory!$C$4:$C$15,MATCH(C122,Dim_Factory!$A$4:$A$15,0))</f>
        <v>L</v>
      </c>
      <c r="F122" s="10" t="str">
        <f aca="false">INDEX(Dim_Stream!$D$4:$D$10,MATCH(D122,Dim_Stream!$A$4:$A$10,0))</f>
        <v>105</v>
      </c>
      <c r="G122" s="11" t="n">
        <v>13.3</v>
      </c>
      <c r="H122" s="11" t="n">
        <v>9.6</v>
      </c>
      <c r="I122" s="12" t="n">
        <f aca="false">G122-H122</f>
        <v>3.7</v>
      </c>
      <c r="J122" s="8" t="n">
        <v>24000</v>
      </c>
      <c r="K122" s="8" t="n">
        <v>5393</v>
      </c>
      <c r="L122" s="7" t="n">
        <v>1</v>
      </c>
    </row>
    <row r="123" customFormat="false" ht="15" hidden="false" customHeight="false" outlineLevel="0" collapsed="false">
      <c r="A123" s="6" t="n">
        <v>9</v>
      </c>
      <c r="B123" s="6" t="s">
        <v>137</v>
      </c>
      <c r="C123" s="6" t="s">
        <v>65</v>
      </c>
      <c r="D123" s="6" t="s">
        <v>109</v>
      </c>
      <c r="E123" s="10" t="str">
        <f aca="false">INDEX(Dim_Factory!$C$4:$C$15,MATCH(C123,Dim_Factory!$A$4:$A$15,0))</f>
        <v>L</v>
      </c>
      <c r="F123" s="10" t="str">
        <f aca="false">INDEX(Dim_Stream!$D$4:$D$10,MATCH(D123,Dim_Stream!$A$4:$A$10,0))</f>
        <v>106</v>
      </c>
      <c r="G123" s="11" t="n">
        <v>0.5</v>
      </c>
      <c r="H123" s="11" t="n">
        <v>0</v>
      </c>
      <c r="I123" s="12" t="n">
        <f aca="false">G123-H123</f>
        <v>0.5</v>
      </c>
      <c r="J123" s="8" t="n">
        <v>0</v>
      </c>
      <c r="K123" s="8" t="n">
        <v>0</v>
      </c>
      <c r="L123" s="7" t="n">
        <v>0</v>
      </c>
    </row>
    <row r="124" customFormat="false" ht="15" hidden="false" customHeight="false" outlineLevel="0" collapsed="false">
      <c r="A124" s="6" t="n">
        <v>9</v>
      </c>
      <c r="B124" s="6" t="s">
        <v>137</v>
      </c>
      <c r="C124" s="6" t="s">
        <v>70</v>
      </c>
      <c r="D124" s="6" t="s">
        <v>97</v>
      </c>
      <c r="E124" s="10" t="str">
        <f aca="false">INDEX(Dim_Factory!$C$4:$C$15,MATCH(C124,Dim_Factory!$A$4:$A$15,0))</f>
        <v>S</v>
      </c>
      <c r="F124" s="10" t="str">
        <f aca="false">INDEX(Dim_Stream!$D$4:$D$10,MATCH(D124,Dim_Stream!$A$4:$A$10,0))</f>
        <v>105</v>
      </c>
      <c r="G124" s="11" t="n">
        <v>1.1</v>
      </c>
      <c r="H124" s="11" t="n">
        <v>0.8</v>
      </c>
      <c r="I124" s="12" t="n">
        <f aca="false">G124-H124</f>
        <v>0.3</v>
      </c>
      <c r="J124" s="8" t="n">
        <v>1440</v>
      </c>
      <c r="K124" s="8" t="n">
        <v>270</v>
      </c>
      <c r="L124" s="7" t="n">
        <v>0</v>
      </c>
    </row>
    <row r="125" customFormat="false" ht="15" hidden="false" customHeight="false" outlineLevel="0" collapsed="false">
      <c r="A125" s="6" t="n">
        <v>9</v>
      </c>
      <c r="B125" s="6" t="s">
        <v>137</v>
      </c>
      <c r="C125" s="6" t="s">
        <v>70</v>
      </c>
      <c r="D125" s="6" t="s">
        <v>115</v>
      </c>
      <c r="E125" s="10" t="str">
        <f aca="false">INDEX(Dim_Factory!$C$4:$C$15,MATCH(C125,Dim_Factory!$A$4:$A$15,0))</f>
        <v>S</v>
      </c>
      <c r="F125" s="10" t="str">
        <f aca="false">INDEX(Dim_Stream!$D$4:$D$10,MATCH(D125,Dim_Stream!$A$4:$A$10,0))</f>
        <v>101</v>
      </c>
      <c r="G125" s="11" t="n">
        <v>2.7</v>
      </c>
      <c r="H125" s="11" t="n">
        <v>0</v>
      </c>
      <c r="I125" s="12" t="n">
        <f aca="false">G125-H125</f>
        <v>2.7</v>
      </c>
      <c r="J125" s="8" t="n">
        <v>0</v>
      </c>
      <c r="K125" s="8" t="n">
        <v>0</v>
      </c>
      <c r="L125" s="7" t="n">
        <v>0</v>
      </c>
    </row>
    <row r="126" customFormat="false" ht="15" hidden="false" customHeight="false" outlineLevel="0" collapsed="false">
      <c r="A126" s="6" t="n">
        <v>9</v>
      </c>
      <c r="B126" s="6" t="s">
        <v>137</v>
      </c>
      <c r="C126" s="6" t="s">
        <v>73</v>
      </c>
      <c r="D126" s="6" t="s">
        <v>101</v>
      </c>
      <c r="E126" s="10" t="str">
        <f aca="false">INDEX(Dim_Factory!$C$4:$C$15,MATCH(C126,Dim_Factory!$A$4:$A$15,0))</f>
        <v>S</v>
      </c>
      <c r="F126" s="10" t="str">
        <f aca="false">INDEX(Dim_Stream!$D$4:$D$10,MATCH(D126,Dim_Stream!$A$4:$A$10,0))</f>
        <v>105</v>
      </c>
      <c r="G126" s="11" t="n">
        <v>9</v>
      </c>
      <c r="H126" s="11" t="n">
        <v>6.5</v>
      </c>
      <c r="I126" s="12" t="n">
        <f aca="false">G126-H126</f>
        <v>2.5</v>
      </c>
      <c r="J126" s="8" t="n">
        <v>5850</v>
      </c>
      <c r="K126" s="8" t="n">
        <v>1461</v>
      </c>
      <c r="L126" s="7" t="n">
        <v>1</v>
      </c>
    </row>
    <row r="127" customFormat="false" ht="15" hidden="false" customHeight="false" outlineLevel="0" collapsed="false">
      <c r="A127" s="6" t="n">
        <v>9</v>
      </c>
      <c r="B127" s="6" t="s">
        <v>137</v>
      </c>
      <c r="C127" s="6" t="s">
        <v>73</v>
      </c>
      <c r="D127" s="6" t="s">
        <v>109</v>
      </c>
      <c r="E127" s="10" t="str">
        <f aca="false">INDEX(Dim_Factory!$C$4:$C$15,MATCH(C127,Dim_Factory!$A$4:$A$15,0))</f>
        <v>S</v>
      </c>
      <c r="F127" s="10" t="str">
        <f aca="false">INDEX(Dim_Stream!$D$4:$D$10,MATCH(D127,Dim_Stream!$A$4:$A$10,0))</f>
        <v>106</v>
      </c>
      <c r="G127" s="11" t="n">
        <v>0.5</v>
      </c>
      <c r="H127" s="11" t="n">
        <v>0</v>
      </c>
      <c r="I127" s="12" t="n">
        <f aca="false">G127-H127</f>
        <v>0.5</v>
      </c>
      <c r="J127" s="8" t="n">
        <v>0</v>
      </c>
      <c r="K127" s="8" t="n">
        <v>0</v>
      </c>
      <c r="L127" s="7" t="n">
        <v>0</v>
      </c>
    </row>
    <row r="128" customFormat="false" ht="15" hidden="false" customHeight="false" outlineLevel="0" collapsed="false">
      <c r="A128" s="6" t="n">
        <v>9</v>
      </c>
      <c r="B128" s="6" t="s">
        <v>137</v>
      </c>
      <c r="C128" s="6" t="s">
        <v>74</v>
      </c>
      <c r="D128" s="6" t="s">
        <v>94</v>
      </c>
      <c r="E128" s="10" t="str">
        <f aca="false">INDEX(Dim_Factory!$C$4:$C$15,MATCH(C128,Dim_Factory!$A$4:$A$15,0))</f>
        <v>M</v>
      </c>
      <c r="F128" s="10" t="str">
        <f aca="false">INDEX(Dim_Stream!$D$4:$D$10,MATCH(D128,Dim_Stream!$A$4:$A$10,0))</f>
        <v>105</v>
      </c>
      <c r="G128" s="11" t="n">
        <v>8.8</v>
      </c>
      <c r="H128" s="11" t="n">
        <v>6.4</v>
      </c>
      <c r="I128" s="12" t="n">
        <f aca="false">G128-H128</f>
        <v>2.4</v>
      </c>
      <c r="J128" s="8" t="n">
        <v>16000</v>
      </c>
      <c r="K128" s="8" t="n">
        <v>3596</v>
      </c>
      <c r="L128" s="7" t="n">
        <v>1</v>
      </c>
    </row>
    <row r="129" customFormat="false" ht="15" hidden="false" customHeight="false" outlineLevel="0" collapsed="false">
      <c r="A129" s="6" t="n">
        <v>9</v>
      </c>
      <c r="B129" s="6" t="s">
        <v>137</v>
      </c>
      <c r="C129" s="6" t="s">
        <v>74</v>
      </c>
      <c r="D129" s="6" t="s">
        <v>97</v>
      </c>
      <c r="E129" s="10" t="str">
        <f aca="false">INDEX(Dim_Factory!$C$4:$C$15,MATCH(C129,Dim_Factory!$A$4:$A$15,0))</f>
        <v>M</v>
      </c>
      <c r="F129" s="10" t="str">
        <f aca="false">INDEX(Dim_Stream!$D$4:$D$10,MATCH(D129,Dim_Stream!$A$4:$A$10,0))</f>
        <v>105</v>
      </c>
      <c r="G129" s="11" t="n">
        <v>1.8</v>
      </c>
      <c r="H129" s="11" t="n">
        <v>1.3</v>
      </c>
      <c r="I129" s="12" t="n">
        <f aca="false">G129-H129</f>
        <v>0.5</v>
      </c>
      <c r="J129" s="8" t="n">
        <v>2340</v>
      </c>
      <c r="K129" s="8" t="n">
        <v>438</v>
      </c>
      <c r="L129" s="7" t="n">
        <v>0</v>
      </c>
    </row>
    <row r="130" customFormat="false" ht="15" hidden="false" customHeight="false" outlineLevel="0" collapsed="false">
      <c r="A130" s="6" t="n">
        <v>9</v>
      </c>
      <c r="B130" s="6" t="s">
        <v>137</v>
      </c>
      <c r="C130" s="6" t="s">
        <v>74</v>
      </c>
      <c r="D130" s="6" t="s">
        <v>109</v>
      </c>
      <c r="E130" s="10" t="str">
        <f aca="false">INDEX(Dim_Factory!$C$4:$C$15,MATCH(C130,Dim_Factory!$A$4:$A$15,0))</f>
        <v>M</v>
      </c>
      <c r="F130" s="10" t="str">
        <f aca="false">INDEX(Dim_Stream!$D$4:$D$10,MATCH(D130,Dim_Stream!$A$4:$A$10,0))</f>
        <v>106</v>
      </c>
      <c r="G130" s="11" t="n">
        <v>0.5</v>
      </c>
      <c r="H130" s="11" t="n">
        <v>0</v>
      </c>
      <c r="I130" s="12" t="n">
        <f aca="false">G130-H130</f>
        <v>0.5</v>
      </c>
      <c r="J130" s="8" t="n">
        <v>0</v>
      </c>
      <c r="K130" s="8" t="n">
        <v>0</v>
      </c>
      <c r="L130" s="7" t="n">
        <v>0</v>
      </c>
    </row>
    <row r="131" customFormat="false" ht="15" hidden="false" customHeight="false" outlineLevel="0" collapsed="false">
      <c r="A131" s="6" t="n">
        <v>9</v>
      </c>
      <c r="B131" s="6" t="s">
        <v>137</v>
      </c>
      <c r="C131" s="6" t="s">
        <v>78</v>
      </c>
      <c r="D131" s="6" t="s">
        <v>105</v>
      </c>
      <c r="E131" s="10" t="str">
        <f aca="false">INDEX(Dim_Factory!$C$4:$C$15,MATCH(C131,Dim_Factory!$A$4:$A$15,0))</f>
        <v>S</v>
      </c>
      <c r="F131" s="10" t="str">
        <f aca="false">INDEX(Dim_Stream!$D$4:$D$10,MATCH(D131,Dim_Stream!$A$4:$A$10,0))</f>
        <v>105</v>
      </c>
      <c r="G131" s="11" t="n">
        <v>5.2</v>
      </c>
      <c r="H131" s="11" t="n">
        <v>3.8</v>
      </c>
      <c r="I131" s="12" t="n">
        <f aca="false">G131-H131</f>
        <v>1.4</v>
      </c>
      <c r="J131" s="8" t="n">
        <v>4560</v>
      </c>
      <c r="K131" s="8" t="n">
        <v>1566</v>
      </c>
      <c r="L131" s="7" t="n">
        <v>0</v>
      </c>
    </row>
    <row r="132" customFormat="false" ht="15" hidden="false" customHeight="false" outlineLevel="0" collapsed="false">
      <c r="A132" s="6" t="n">
        <v>9</v>
      </c>
      <c r="B132" s="6" t="s">
        <v>137</v>
      </c>
      <c r="C132" s="6" t="s">
        <v>78</v>
      </c>
      <c r="D132" s="6" t="s">
        <v>97</v>
      </c>
      <c r="E132" s="10" t="str">
        <f aca="false">INDEX(Dim_Factory!$C$4:$C$15,MATCH(C132,Dim_Factory!$A$4:$A$15,0))</f>
        <v>S</v>
      </c>
      <c r="F132" s="10" t="str">
        <f aca="false">INDEX(Dim_Stream!$D$4:$D$10,MATCH(D132,Dim_Stream!$A$4:$A$10,0))</f>
        <v>105</v>
      </c>
      <c r="G132" s="11" t="n">
        <v>1.1</v>
      </c>
      <c r="H132" s="11" t="n">
        <v>0.8</v>
      </c>
      <c r="I132" s="12" t="n">
        <f aca="false">G132-H132</f>
        <v>0.3</v>
      </c>
      <c r="J132" s="8" t="n">
        <v>1440</v>
      </c>
      <c r="K132" s="8" t="n">
        <v>270</v>
      </c>
      <c r="L132" s="7" t="n">
        <v>0</v>
      </c>
    </row>
    <row r="133" customFormat="false" ht="15" hidden="false" customHeight="false" outlineLevel="0" collapsed="false">
      <c r="A133" s="6" t="n">
        <v>9</v>
      </c>
      <c r="B133" s="6" t="s">
        <v>137</v>
      </c>
      <c r="C133" s="6" t="s">
        <v>80</v>
      </c>
      <c r="D133" s="6" t="s">
        <v>89</v>
      </c>
      <c r="E133" s="10" t="str">
        <f aca="false">INDEX(Dim_Factory!$C$4:$C$15,MATCH(C133,Dim_Factory!$A$4:$A$15,0))</f>
        <v>L</v>
      </c>
      <c r="F133" s="10" t="str">
        <f aca="false">INDEX(Dim_Stream!$D$4:$D$10,MATCH(D133,Dim_Stream!$A$4:$A$10,0))</f>
        <v>105</v>
      </c>
      <c r="G133" s="11" t="n">
        <v>12.4</v>
      </c>
      <c r="H133" s="11" t="n">
        <v>9</v>
      </c>
      <c r="I133" s="12" t="n">
        <f aca="false">G133-H133</f>
        <v>3.4</v>
      </c>
      <c r="J133" s="8" t="n">
        <v>16200</v>
      </c>
      <c r="K133" s="8" t="n">
        <v>4046</v>
      </c>
      <c r="L133" s="7" t="n">
        <v>1</v>
      </c>
    </row>
    <row r="134" customFormat="false" ht="15" hidden="false" customHeight="false" outlineLevel="0" collapsed="false">
      <c r="A134" s="6" t="n">
        <v>9</v>
      </c>
      <c r="B134" s="6" t="s">
        <v>137</v>
      </c>
      <c r="C134" s="6" t="s">
        <v>80</v>
      </c>
      <c r="D134" s="6" t="s">
        <v>109</v>
      </c>
      <c r="E134" s="10" t="str">
        <f aca="false">INDEX(Dim_Factory!$C$4:$C$15,MATCH(C134,Dim_Factory!$A$4:$A$15,0))</f>
        <v>L</v>
      </c>
      <c r="F134" s="10" t="str">
        <f aca="false">INDEX(Dim_Stream!$D$4:$D$10,MATCH(D134,Dim_Stream!$A$4:$A$10,0))</f>
        <v>106</v>
      </c>
      <c r="G134" s="11" t="n">
        <v>0.5</v>
      </c>
      <c r="H134" s="11" t="n">
        <v>0</v>
      </c>
      <c r="I134" s="12" t="n">
        <f aca="false">G134-H134</f>
        <v>0.5</v>
      </c>
      <c r="J134" s="8" t="n">
        <v>0</v>
      </c>
      <c r="K134" s="8" t="n">
        <v>0</v>
      </c>
      <c r="L134" s="7" t="n">
        <v>0</v>
      </c>
    </row>
    <row r="135" customFormat="false" ht="15" hidden="false" customHeight="false" outlineLevel="0" collapsed="false">
      <c r="A135" s="6" t="n">
        <v>9</v>
      </c>
      <c r="B135" s="6" t="s">
        <v>137</v>
      </c>
      <c r="C135" s="6" t="s">
        <v>80</v>
      </c>
      <c r="D135" s="6" t="s">
        <v>115</v>
      </c>
      <c r="E135" s="10" t="str">
        <f aca="false">INDEX(Dim_Factory!$C$4:$C$15,MATCH(C135,Dim_Factory!$A$4:$A$15,0))</f>
        <v>L</v>
      </c>
      <c r="F135" s="10" t="str">
        <f aca="false">INDEX(Dim_Stream!$D$4:$D$10,MATCH(D135,Dim_Stream!$A$4:$A$10,0))</f>
        <v>101</v>
      </c>
      <c r="G135" s="11" t="n">
        <v>6.6</v>
      </c>
      <c r="H135" s="11" t="n">
        <v>0</v>
      </c>
      <c r="I135" s="12" t="n">
        <f aca="false">G135-H135</f>
        <v>6.6</v>
      </c>
      <c r="J135" s="8" t="n">
        <v>0</v>
      </c>
      <c r="K135" s="8" t="n">
        <v>0</v>
      </c>
      <c r="L135" s="7" t="n">
        <v>0</v>
      </c>
    </row>
  </sheetData>
  <autoFilter ref="A3:L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6.4" hidden="false" customHeight="false" outlineLevel="0" collapsed="false">
      <c r="A1" s="3" t="s">
        <v>138</v>
      </c>
    </row>
    <row r="3" customFormat="false" ht="33.75" hidden="false" customHeight="true" outlineLevel="0" collapsed="false">
      <c r="A3" s="4" t="s">
        <v>120</v>
      </c>
      <c r="B3" s="4" t="s">
        <v>121</v>
      </c>
      <c r="C3" s="4" t="s">
        <v>139</v>
      </c>
      <c r="D3" s="4" t="s">
        <v>123</v>
      </c>
      <c r="E3" s="4" t="s">
        <v>124</v>
      </c>
      <c r="F3" s="4" t="s">
        <v>140</v>
      </c>
      <c r="G3" s="4" t="s">
        <v>126</v>
      </c>
      <c r="H3" s="4" t="s">
        <v>141</v>
      </c>
      <c r="I3" s="4" t="s">
        <v>142</v>
      </c>
      <c r="J3" s="4" t="s">
        <v>143</v>
      </c>
      <c r="K3" s="4" t="s">
        <v>128</v>
      </c>
    </row>
    <row r="4" customFormat="false" ht="15" hidden="false" customHeight="false" outlineLevel="0" collapsed="false">
      <c r="A4" s="7" t="n">
        <v>1</v>
      </c>
      <c r="B4" s="6" t="s">
        <v>129</v>
      </c>
      <c r="C4" s="6" t="n">
        <f aca="false">COUNTIF(Dim_Factory!$D$4:$D$15,"&lt;="&amp;A4)</f>
        <v>2</v>
      </c>
      <c r="D4" s="12" t="n">
        <f aca="false">SUMIFS(Fact!$G$4:$G$135,Fact!$A$4:$A$135,A4)</f>
        <v>45</v>
      </c>
      <c r="E4" s="12" t="n">
        <f aca="false">SUMIFS(Fact!$H$4:$H$135,Fact!$A$4:$A$135,A4)</f>
        <v>10</v>
      </c>
      <c r="F4" s="13" t="n">
        <f aca="false">IFERROR((D4-E4)/D4,0)</f>
        <v>0.777777777777778</v>
      </c>
      <c r="G4" s="14" t="n">
        <f aca="false">SUMIFS(Fact!$J$4:$J$135,Fact!$A$4:$A$135,A4)</f>
        <v>9000</v>
      </c>
      <c r="H4" s="14" t="n">
        <f aca="false">SUMIFS(Dim_Factory!$E$4:$E$15,Dim_Factory!$D$4:$D$15,"&lt;="&amp;A4)</f>
        <v>145000</v>
      </c>
      <c r="I4" s="13" t="n">
        <f aca="false">IFERROR(G4/H4,0)</f>
        <v>0.0620689655172414</v>
      </c>
      <c r="J4" s="14" t="n">
        <f aca="false">SUMIFS(Fact!$K$4:$K$135,Fact!$A$4:$A$135,A4)</f>
        <v>3500</v>
      </c>
      <c r="K4" s="6" t="n">
        <f aca="false">SUMIFS(Fact!$L$4:$L$135,Fact!$A$4:$A$135,A4)</f>
        <v>1</v>
      </c>
    </row>
    <row r="5" customFormat="false" ht="15" hidden="false" customHeight="false" outlineLevel="0" collapsed="false">
      <c r="A5" s="7" t="n">
        <v>2</v>
      </c>
      <c r="B5" s="6" t="s">
        <v>130</v>
      </c>
      <c r="C5" s="6" t="n">
        <f aca="false">COUNTIF(Dim_Factory!$D$4:$D$15,"&lt;="&amp;A5)</f>
        <v>3</v>
      </c>
      <c r="D5" s="12" t="n">
        <f aca="false">SUMIFS(Fact!$G$4:$G$135,Fact!$A$4:$A$135,A5)</f>
        <v>60</v>
      </c>
      <c r="E5" s="12" t="n">
        <f aca="false">SUMIFS(Fact!$H$4:$H$135,Fact!$A$4:$A$135,A5)</f>
        <v>20</v>
      </c>
      <c r="F5" s="13" t="n">
        <f aca="false">IFERROR((D5-E5)/D5,0)</f>
        <v>0.666666666666667</v>
      </c>
      <c r="G5" s="14" t="n">
        <f aca="false">SUMIFS(Fact!$J$4:$J$135,Fact!$A$4:$A$135,A5)</f>
        <v>17000</v>
      </c>
      <c r="H5" s="14" t="n">
        <f aca="false">SUMIFS(Dim_Factory!$E$4:$E$15,Dim_Factory!$D$4:$D$15,"&lt;="&amp;A5)</f>
        <v>200000</v>
      </c>
      <c r="I5" s="13" t="n">
        <f aca="false">IFERROR(G5/H5,0)</f>
        <v>0.085</v>
      </c>
      <c r="J5" s="14" t="n">
        <f aca="false">SUMIFS(Fact!$K$4:$K$135,Fact!$A$4:$A$135,A5)</f>
        <v>7100</v>
      </c>
      <c r="K5" s="6" t="n">
        <f aca="false">SUMIFS(Fact!$L$4:$L$135,Fact!$A$4:$A$135,A5)</f>
        <v>2</v>
      </c>
    </row>
    <row r="6" customFormat="false" ht="15" hidden="false" customHeight="false" outlineLevel="0" collapsed="false">
      <c r="A6" s="7" t="n">
        <v>3</v>
      </c>
      <c r="B6" s="6" t="s">
        <v>131</v>
      </c>
      <c r="C6" s="6" t="n">
        <f aca="false">COUNTIF(Dim_Factory!$D$4:$D$15,"&lt;="&amp;A6)</f>
        <v>5</v>
      </c>
      <c r="D6" s="12" t="n">
        <f aca="false">SUMIFS(Fact!$G$4:$G$135,Fact!$A$4:$A$135,A6)</f>
        <v>78</v>
      </c>
      <c r="E6" s="12" t="n">
        <f aca="false">SUMIFS(Fact!$H$4:$H$135,Fact!$A$4:$A$135,A6)</f>
        <v>33</v>
      </c>
      <c r="F6" s="13" t="n">
        <f aca="false">IFERROR((D6-E6)/D6,0)</f>
        <v>0.576923076923077</v>
      </c>
      <c r="G6" s="14" t="n">
        <f aca="false">SUMIFS(Fact!$J$4:$J$135,Fact!$A$4:$A$135,A6)</f>
        <v>30000</v>
      </c>
      <c r="H6" s="14" t="n">
        <f aca="false">SUMIFS(Dim_Factory!$E$4:$E$15,Dim_Factory!$D$4:$D$15,"&lt;="&amp;A6)</f>
        <v>345000</v>
      </c>
      <c r="I6" s="13" t="n">
        <f aca="false">IFERROR(G6/H6,0)</f>
        <v>0.0869565217391304</v>
      </c>
      <c r="J6" s="14" t="n">
        <f aca="false">SUMIFS(Fact!$K$4:$K$135,Fact!$A$4:$A$135,A6)</f>
        <v>11900</v>
      </c>
      <c r="K6" s="6" t="n">
        <f aca="false">SUMIFS(Fact!$L$4:$L$135,Fact!$A$4:$A$135,A6)</f>
        <v>3</v>
      </c>
    </row>
    <row r="7" customFormat="false" ht="15" hidden="false" customHeight="false" outlineLevel="0" collapsed="false">
      <c r="A7" s="7" t="n">
        <v>4</v>
      </c>
      <c r="B7" s="6" t="s">
        <v>132</v>
      </c>
      <c r="C7" s="6" t="n">
        <f aca="false">COUNTIF(Dim_Factory!$D$4:$D$15,"&lt;="&amp;A7)</f>
        <v>6</v>
      </c>
      <c r="D7" s="12" t="n">
        <f aca="false">SUMIFS(Fact!$G$4:$G$135,Fact!$A$4:$A$135,A7)</f>
        <v>84</v>
      </c>
      <c r="E7" s="12" t="n">
        <f aca="false">SUMIFS(Fact!$H$4:$H$135,Fact!$A$4:$A$135,A7)</f>
        <v>40</v>
      </c>
      <c r="F7" s="13" t="n">
        <f aca="false">IFERROR((D7-E7)/D7,0)</f>
        <v>0.523809523809524</v>
      </c>
      <c r="G7" s="14" t="n">
        <f aca="false">SUMIFS(Fact!$J$4:$J$135,Fact!$A$4:$A$135,A7)</f>
        <v>41000</v>
      </c>
      <c r="H7" s="14" t="n">
        <f aca="false">SUMIFS(Dim_Factory!$E$4:$E$15,Dim_Factory!$D$4:$D$15,"&lt;="&amp;A7)</f>
        <v>435000</v>
      </c>
      <c r="I7" s="13" t="n">
        <f aca="false">IFERROR(G7/H7,0)</f>
        <v>0.0942528735632184</v>
      </c>
      <c r="J7" s="14" t="n">
        <f aca="false">SUMIFS(Fact!$K$4:$K$135,Fact!$A$4:$A$135,A7)</f>
        <v>14800</v>
      </c>
      <c r="K7" s="6" t="n">
        <f aca="false">SUMIFS(Fact!$L$4:$L$135,Fact!$A$4:$A$135,A7)</f>
        <v>4</v>
      </c>
    </row>
    <row r="8" customFormat="false" ht="15" hidden="false" customHeight="false" outlineLevel="0" collapsed="false">
      <c r="A8" s="7" t="n">
        <v>5</v>
      </c>
      <c r="B8" s="6" t="s">
        <v>133</v>
      </c>
      <c r="C8" s="6" t="n">
        <f aca="false">COUNTIF(Dim_Factory!$D$4:$D$15,"&lt;="&amp;A8)</f>
        <v>8</v>
      </c>
      <c r="D8" s="12" t="n">
        <f aca="false">SUMIFS(Fact!$G$4:$G$135,Fact!$A$4:$A$135,A8)</f>
        <v>98</v>
      </c>
      <c r="E8" s="12" t="n">
        <f aca="false">SUMIFS(Fact!$H$4:$H$135,Fact!$A$4:$A$135,A8)</f>
        <v>50</v>
      </c>
      <c r="F8" s="13" t="n">
        <f aca="false">IFERROR((D8-E8)/D8,0)</f>
        <v>0.489795918367347</v>
      </c>
      <c r="G8" s="14" t="n">
        <f aca="false">SUMIFS(Fact!$J$4:$J$135,Fact!$A$4:$A$135,A8)</f>
        <v>58000</v>
      </c>
      <c r="H8" s="14" t="n">
        <f aca="false">SUMIFS(Dim_Factory!$E$4:$E$15,Dim_Factory!$D$4:$D$15,"&lt;="&amp;A8)</f>
        <v>655000</v>
      </c>
      <c r="I8" s="13" t="n">
        <f aca="false">IFERROR(G8/H8,0)</f>
        <v>0.0885496183206107</v>
      </c>
      <c r="J8" s="14" t="n">
        <f aca="false">SUMIFS(Fact!$K$4:$K$135,Fact!$A$4:$A$135,A8)</f>
        <v>18700</v>
      </c>
      <c r="K8" s="6" t="n">
        <f aca="false">SUMIFS(Fact!$L$4:$L$135,Fact!$A$4:$A$135,A8)</f>
        <v>4</v>
      </c>
    </row>
    <row r="9" customFormat="false" ht="15" hidden="false" customHeight="false" outlineLevel="0" collapsed="false">
      <c r="A9" s="7" t="n">
        <v>6</v>
      </c>
      <c r="B9" s="6" t="s">
        <v>134</v>
      </c>
      <c r="C9" s="6" t="n">
        <f aca="false">COUNTIF(Dim_Factory!$D$4:$D$15,"&lt;="&amp;A9)</f>
        <v>9</v>
      </c>
      <c r="D9" s="12" t="n">
        <f aca="false">SUMIFS(Fact!$G$4:$G$135,Fact!$A$4:$A$135,A9)</f>
        <v>118</v>
      </c>
      <c r="E9" s="12" t="n">
        <f aca="false">SUMIFS(Fact!$H$4:$H$135,Fact!$A$4:$A$135,A9)</f>
        <v>65</v>
      </c>
      <c r="F9" s="13" t="n">
        <f aca="false">IFERROR((D9-E9)/D9,0)</f>
        <v>0.449152542372881</v>
      </c>
      <c r="G9" s="14" t="n">
        <f aca="false">SUMIFS(Fact!$J$4:$J$135,Fact!$A$4:$A$135,A9)</f>
        <v>79000</v>
      </c>
      <c r="H9" s="14" t="n">
        <f aca="false">SUMIFS(Dim_Factory!$E$4:$E$15,Dim_Factory!$D$4:$D$15,"&lt;="&amp;A9)</f>
        <v>710000</v>
      </c>
      <c r="I9" s="13" t="n">
        <f aca="false">IFERROR(G9/H9,0)</f>
        <v>0.111267605633803</v>
      </c>
      <c r="J9" s="14" t="n">
        <f aca="false">SUMIFS(Fact!$K$4:$K$135,Fact!$A$4:$A$135,A9)</f>
        <v>24900</v>
      </c>
      <c r="K9" s="6" t="n">
        <f aca="false">SUMIFS(Fact!$L$4:$L$135,Fact!$A$4:$A$135,A9)</f>
        <v>5</v>
      </c>
    </row>
    <row r="10" customFormat="false" ht="15" hidden="false" customHeight="false" outlineLevel="0" collapsed="false">
      <c r="A10" s="7" t="n">
        <v>7</v>
      </c>
      <c r="B10" s="6" t="s">
        <v>135</v>
      </c>
      <c r="C10" s="6" t="n">
        <f aca="false">COUNTIF(Dim_Factory!$D$4:$D$15,"&lt;="&amp;A10)</f>
        <v>10</v>
      </c>
      <c r="D10" s="12" t="n">
        <f aca="false">SUMIFS(Fact!$G$4:$G$135,Fact!$A$4:$A$135,A10)</f>
        <v>112</v>
      </c>
      <c r="E10" s="12" t="n">
        <f aca="false">SUMIFS(Fact!$H$4:$H$135,Fact!$A$4:$A$135,A10)</f>
        <v>62</v>
      </c>
      <c r="F10" s="13" t="n">
        <f aca="false">IFERROR((D10-E10)/D10,0)</f>
        <v>0.446428571428571</v>
      </c>
      <c r="G10" s="14" t="n">
        <f aca="false">SUMIFS(Fact!$J$4:$J$135,Fact!$A$4:$A$135,A10)</f>
        <v>92000</v>
      </c>
      <c r="H10" s="14" t="n">
        <f aca="false">SUMIFS(Dim_Factory!$E$4:$E$15,Dim_Factory!$D$4:$D$15,"&lt;="&amp;A10)</f>
        <v>800000</v>
      </c>
      <c r="I10" s="13" t="n">
        <f aca="false">IFERROR(G10/H10,0)</f>
        <v>0.115</v>
      </c>
      <c r="J10" s="14" t="n">
        <f aca="false">SUMIFS(Fact!$K$4:$K$135,Fact!$A$4:$A$135,A10)</f>
        <v>22100</v>
      </c>
      <c r="K10" s="6" t="n">
        <f aca="false">SUMIFS(Fact!$L$4:$L$135,Fact!$A$4:$A$135,A10)</f>
        <v>5</v>
      </c>
    </row>
    <row r="11" customFormat="false" ht="15" hidden="false" customHeight="false" outlineLevel="0" collapsed="false">
      <c r="A11" s="7" t="n">
        <v>8</v>
      </c>
      <c r="B11" s="6" t="s">
        <v>136</v>
      </c>
      <c r="C11" s="6" t="n">
        <f aca="false">COUNTIF(Dim_Factory!$D$4:$D$15,"&lt;="&amp;A11)</f>
        <v>11</v>
      </c>
      <c r="D11" s="12" t="n">
        <f aca="false">SUMIFS(Fact!$G$4:$G$135,Fact!$A$4:$A$135,A11)</f>
        <v>120</v>
      </c>
      <c r="E11" s="12" t="n">
        <f aca="false">SUMIFS(Fact!$H$4:$H$135,Fact!$A$4:$A$135,A11)</f>
        <v>70</v>
      </c>
      <c r="F11" s="13" t="n">
        <f aca="false">IFERROR((D11-E11)/D11,0)</f>
        <v>0.416666666666667</v>
      </c>
      <c r="G11" s="14" t="n">
        <f aca="false">SUMIFS(Fact!$J$4:$J$135,Fact!$A$4:$A$135,A11)</f>
        <v>112000</v>
      </c>
      <c r="H11" s="14" t="n">
        <f aca="false">SUMIFS(Dim_Factory!$E$4:$E$15,Dim_Factory!$D$4:$D$15,"&lt;="&amp;A11)</f>
        <v>855000</v>
      </c>
      <c r="I11" s="13" t="n">
        <f aca="false">IFERROR(G11/H11,0)</f>
        <v>0.130994152046784</v>
      </c>
      <c r="J11" s="14" t="n">
        <f aca="false">SUMIFS(Fact!$K$4:$K$135,Fact!$A$4:$A$135,A11)</f>
        <v>28600</v>
      </c>
      <c r="K11" s="6" t="n">
        <f aca="false">SUMIFS(Fact!$L$4:$L$135,Fact!$A$4:$A$135,A11)</f>
        <v>6</v>
      </c>
    </row>
    <row r="12" customFormat="false" ht="15" hidden="false" customHeight="false" outlineLevel="0" collapsed="false">
      <c r="A12" s="7" t="n">
        <v>9</v>
      </c>
      <c r="B12" s="6" t="s">
        <v>137</v>
      </c>
      <c r="C12" s="6" t="n">
        <f aca="false">COUNTIF(Dim_Factory!$D$4:$D$15,"&lt;="&amp;A12)</f>
        <v>12</v>
      </c>
      <c r="D12" s="12" t="n">
        <f aca="false">SUMIFS(Fact!$G$4:$G$135,Fact!$A$4:$A$135,A12)</f>
        <v>130</v>
      </c>
      <c r="E12" s="12" t="n">
        <f aca="false">SUMIFS(Fact!$H$4:$H$135,Fact!$A$4:$A$135,A12)</f>
        <v>82</v>
      </c>
      <c r="F12" s="13" t="n">
        <f aca="false">IFERROR((D12-E12)/D12,0)</f>
        <v>0.369230769230769</v>
      </c>
      <c r="G12" s="14" t="n">
        <f aca="false">SUMIFS(Fact!$J$4:$J$135,Fact!$A$4:$A$135,A12)</f>
        <v>146700</v>
      </c>
      <c r="H12" s="14" t="n">
        <f aca="false">SUMIFS(Dim_Factory!$E$4:$E$15,Dim_Factory!$D$4:$D$15,"&lt;="&amp;A12)</f>
        <v>1020000</v>
      </c>
      <c r="I12" s="13" t="n">
        <f aca="false">IFERROR(G12/H12,0)</f>
        <v>0.143823529411765</v>
      </c>
      <c r="J12" s="14" t="n">
        <f aca="false">SUMIFS(Fact!$K$4:$K$135,Fact!$A$4:$A$135,A12)</f>
        <v>35700</v>
      </c>
      <c r="K12" s="6" t="n">
        <f aca="false">SUMIFS(Fact!$L$4:$L$135,Fact!$A$4:$A$135,A12)</f>
        <v>7</v>
      </c>
    </row>
    <row r="13" customFormat="false" ht="15" hidden="false" customHeight="false" outlineLevel="0" collapsed="false">
      <c r="A13" s="15" t="s">
        <v>144</v>
      </c>
      <c r="B13" s="15"/>
      <c r="C13" s="15" t="n">
        <f aca="false">C12</f>
        <v>12</v>
      </c>
      <c r="D13" s="16" t="n">
        <f aca="false">SUM(D4:D12)</f>
        <v>845</v>
      </c>
      <c r="E13" s="16" t="n">
        <f aca="false">SUM(E4:E12)</f>
        <v>432</v>
      </c>
      <c r="F13" s="17" t="n">
        <f aca="false">IFERROR((D13-E13)/D13,0)</f>
        <v>0.488757396449704</v>
      </c>
      <c r="G13" s="18" t="n">
        <f aca="false">SUM(G4:G12)</f>
        <v>584700</v>
      </c>
      <c r="H13" s="18" t="n">
        <f aca="false">SUM(H4:H12)</f>
        <v>5165000</v>
      </c>
      <c r="I13" s="17" t="n">
        <f aca="false">IFERROR(G13/H13,0)</f>
        <v>0.113204259438529</v>
      </c>
      <c r="J13" s="18" t="n">
        <f aca="false">SUM(J4:J12)</f>
        <v>167300</v>
      </c>
      <c r="K13" s="15" t="n">
        <f aca="false">SUM(K4:K12)</f>
        <v>37</v>
      </c>
    </row>
    <row r="15" customFormat="false" ht="15" hidden="false" customHeight="false" outlineLevel="0" collapsed="false">
      <c r="A15" s="1" t="s">
        <v>145</v>
      </c>
    </row>
    <row r="16" customFormat="false" ht="15" hidden="false" customHeight="false" outlineLevel="0" collapsed="false">
      <c r="A16" s="2" t="s">
        <v>146</v>
      </c>
      <c r="B16" s="2" t="n">
        <f aca="false">COUNTIF(Dim_Factory!$F$4:$F$15,"สมาชิก")+COUNTIF(Dim_Factory!$F$4:$F$15,"หมดทดลอง-ยังไม่ต่อ")</f>
        <v>9</v>
      </c>
    </row>
    <row r="17" customFormat="false" ht="15" hidden="false" customHeight="false" outlineLevel="0" collapsed="false">
      <c r="A17" s="2" t="s">
        <v>147</v>
      </c>
      <c r="B17" s="2" t="n">
        <f aca="false">COUNTIF(Dim_Factory!$F$4:$F$15,"สมาชิก")</f>
        <v>3</v>
      </c>
    </row>
    <row r="18" customFormat="false" ht="15" hidden="false" customHeight="false" outlineLevel="0" collapsed="false">
      <c r="A18" s="2" t="s">
        <v>148</v>
      </c>
      <c r="B18" s="19" t="n">
        <f aca="false">IFERROR(B17/B16,0)</f>
        <v>0.333333333333333</v>
      </c>
    </row>
    <row r="19" customFormat="false" ht="15" hidden="false" customHeight="false" outlineLevel="0" collapsed="false">
      <c r="A19" s="2" t="s">
        <v>149</v>
      </c>
      <c r="B19" s="20" t="n">
        <v>0.1</v>
      </c>
      <c r="C19" s="20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6.4" hidden="false" customHeight="false" outlineLevel="0" collapsed="false">
      <c r="A1" s="3" t="s">
        <v>150</v>
      </c>
    </row>
    <row r="3" customFormat="false" ht="33.75" hidden="false" customHeight="true" outlineLevel="0" collapsed="false">
      <c r="A3" s="4" t="s">
        <v>151</v>
      </c>
      <c r="B3" s="4" t="s">
        <v>152</v>
      </c>
      <c r="C3" s="4" t="s">
        <v>153</v>
      </c>
      <c r="D3" s="4" t="s">
        <v>154</v>
      </c>
    </row>
    <row r="4" customFormat="false" ht="15" hidden="false" customHeight="false" outlineLevel="0" collapsed="false">
      <c r="A4" s="6" t="s">
        <v>155</v>
      </c>
      <c r="B4" s="21" t="n">
        <v>0</v>
      </c>
      <c r="C4" s="21" t="n">
        <v>0</v>
      </c>
      <c r="D4" s="21" t="n">
        <v>300000</v>
      </c>
    </row>
    <row r="5" customFormat="false" ht="15" hidden="false" customHeight="false" outlineLevel="0" collapsed="false">
      <c r="A5" s="6" t="s">
        <v>156</v>
      </c>
      <c r="B5" s="21" t="n">
        <v>0</v>
      </c>
      <c r="C5" s="21" t="n">
        <v>42000</v>
      </c>
      <c r="D5" s="21" t="n">
        <v>102000</v>
      </c>
    </row>
    <row r="6" customFormat="false" ht="15" hidden="false" customHeight="false" outlineLevel="0" collapsed="false">
      <c r="A6" s="6" t="s">
        <v>157</v>
      </c>
      <c r="B6" s="21" t="n">
        <v>6000</v>
      </c>
      <c r="C6" s="21" t="n">
        <v>33000</v>
      </c>
      <c r="D6" s="21" t="n">
        <v>58000</v>
      </c>
    </row>
    <row r="7" customFormat="false" ht="15" hidden="false" customHeight="false" outlineLevel="0" collapsed="false">
      <c r="A7" s="6" t="s">
        <v>158</v>
      </c>
      <c r="B7" s="21" t="n">
        <v>12000</v>
      </c>
      <c r="C7" s="21" t="n">
        <v>21500</v>
      </c>
      <c r="D7" s="21" t="n">
        <v>26400</v>
      </c>
    </row>
    <row r="8" customFormat="false" ht="15" hidden="false" customHeight="false" outlineLevel="0" collapsed="false">
      <c r="A8" s="6" t="s">
        <v>159</v>
      </c>
      <c r="B8" s="21" t="n">
        <v>0</v>
      </c>
      <c r="C8" s="21" t="n">
        <v>0</v>
      </c>
      <c r="D8" s="21" t="n">
        <v>0</v>
      </c>
    </row>
    <row r="9" customFormat="false" ht="15" hidden="false" customHeight="false" outlineLevel="0" collapsed="false">
      <c r="A9" s="15" t="s">
        <v>160</v>
      </c>
      <c r="B9" s="18" t="n">
        <f aca="false">SUM(B4:B8)</f>
        <v>18000</v>
      </c>
      <c r="C9" s="18" t="n">
        <f aca="false">SUM(C4:C8)</f>
        <v>96500</v>
      </c>
      <c r="D9" s="18" t="n">
        <f aca="false">SUM(D4:D8)</f>
        <v>486400</v>
      </c>
    </row>
    <row r="10" customFormat="false" ht="15" hidden="false" customHeight="false" outlineLevel="0" collapsed="false">
      <c r="A10" s="15" t="s">
        <v>161</v>
      </c>
      <c r="B10" s="18" t="n">
        <f aca="false">B5+B6</f>
        <v>6000</v>
      </c>
      <c r="C10" s="18" t="n">
        <f aca="false">C5+C6</f>
        <v>75000</v>
      </c>
      <c r="D10" s="18" t="n">
        <f aca="false">D5+D6</f>
        <v>160000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2026-10-04T14:29:22Z</dcterms:created>
  <dc:creator>openpyxl</dc:creator>
  <dc:description/>
  <dc:language>en-US</dc:language>
  <cp:lastModifiedBy/>
  <dcterms:modified xsi:type="dcterms:W3CDTF">2026-10-04T14:29:22Z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