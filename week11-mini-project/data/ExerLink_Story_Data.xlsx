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onthly" sheetId="2" state="visible" r:id="rId4"/>
    <sheet name="Waste_Streams" sheetId="3" state="visible" r:id="rId5"/>
    <sheet name="Revenue_Quarter" sheetId="4" state="visible" r:id="rId6"/>
    <sheet name="Milesto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<sst xmlns="http://schemas.openxmlformats.org/spreadsheetml/2006/main" count="110" uniqueCount="101">
  <si>
    <t xml:space="preserve">ข้อมูลชุดนี้เป็นข้อมูลจำลองสำหรับออกแบบ Dashboard เชิงเล่าเรื่องของ ExerLink</t>
  </si>
  <si>
    <t xml:space="preserve">ยังไม่ใช่ข้อมูลจริงของโรงงานหรือนิคมฯ ใด — แทนตัวเลขสีน้ำเงินด้วยข้อมูลจริงเมื่อมี แล้วสูตรจะคำนวณใหม่เอง</t>
  </si>
  <si>
    <t xml:space="preserve">ชีต Monthly: ผลรายเดือน + สมมติฐานค่ากำจัดเดิม (ช่องเหลือง B17)</t>
  </si>
  <si>
    <t xml:space="preserve">ชีต Waste_Streams: ชนิดของเสียที่จับคู่ได้ เดือน ก.ย.</t>
  </si>
  <si>
    <t xml:space="preserve">ชีต Revenue_Quarter: รายได้ตาม 5 ช่องทางใน BMC</t>
  </si>
  <si>
    <t xml:space="preserve">ชีต Milestones: เหตุการณ์ที่ใช้เป็นจุดเล่าเรื่อง</t>
  </si>
  <si>
    <t xml:space="preserve">แหล่งข้อมูลจริงที่ควรใช้แทน: ทะเบียนโรงงาน DIW, gdcatalog, ค่า EF ของ TGO, ใบรับของเสีย/ใบแจ้งหนี้ผู้รับกำจัด</t>
  </si>
  <si>
    <t xml:space="preserve">ExerLink · ผลการดำเนินงานรายเดือน นิคมฯ นำร่อง (ม.ค.–ก.ย. 2569) — ข้อมูลจำลอง</t>
  </si>
  <si>
    <t xml:space="preserve">ตัวเลขสีน้ำเงิน = ข้อมูลป้อน (จำลอง) · ตัวเลขสีดำ = สูตรคำนวณ</t>
  </si>
  <si>
    <t xml:space="preserve">เดือน</t>
  </si>
  <si>
    <t xml:space="preserve">โรงงานในระบบ (สะสม)</t>
  </si>
  <si>
    <t xml:space="preserve">ของเสียที่ลงทะเบียน (ตัน)</t>
  </si>
  <si>
    <t xml:space="preserve">ของเสียที่จับคู่/เลี่ยงหลุมฝังกลบ (ตัน)</t>
  </si>
  <si>
    <t xml:space="preserve">สัดส่วนไปหลุมฝังกลบ</t>
  </si>
  <si>
    <t xml:space="preserve">คู่ที่จับสำเร็จ (เดือนนี้)</t>
  </si>
  <si>
    <t xml:space="preserve">คู่สะสม</t>
  </si>
  <si>
    <t xml:space="preserve">ก๊าซเรือนกระจกที่ลดได้ (kgCO₂e)</t>
  </si>
  <si>
    <t xml:space="preserve">kgCO₂e ต่อตัน</t>
  </si>
  <si>
    <t xml:space="preserve">ค่ากำจัดเดิมต่อโรงงาน (บาท/เดือน)</t>
  </si>
  <si>
    <t xml:space="preserve">ค่ากำจัด baseline รวม (บาท)</t>
  </si>
  <si>
    <t xml:space="preserve">ต้นทุนที่ลดได้ (บาท)</t>
  </si>
  <si>
    <t xml:space="preserve">% ต้นทุนที่ลดได้</t>
  </si>
  <si>
    <t xml:space="preserve">รายได้ ExerLink (บาท)</t>
  </si>
  <si>
    <t xml:space="preserve">ม.ค. 69</t>
  </si>
  <si>
    <t xml:space="preserve">ก.พ. 69</t>
  </si>
  <si>
    <t xml:space="preserve">มี.ค. 69</t>
  </si>
  <si>
    <t xml:space="preserve">เม.ย. 69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</si>
  <si>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</si>
  <si>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</si>
  <si>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</si>
  <si>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</si>
  <si>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</si>
  <si>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รวม / ล่าสุด</t>
  </si>
  <si>
    <t xml:space="preserve">สมมติฐาน</t>
  </si>
  <si>
    <t xml:space="preserve">ค่ากำจัดของเสียเดิมเฉลี่ยต่อโรงงานนำร่อง (บาท/เดือน)</t>
  </si>
  <si>
    <t xml:space="preserve">สมมติฐานจำลอง รวมของเสียอันตรายที่มีค่ากำจัดสูง — แทนด้วยข้อมูลจริงจากใบแจ้งหนี้ผู้รับกำจัด</t>
  </si>
  <si>
    <t xml:space="preserve">เป้าลดต้นทุนช่วงนำร่อง (จาก BMC)</t>
  </si>
  <si>
    <t xml:space="preserve">ที่มา: Business Model Canvas ของ ExerLink (เป้า 10–20%)</t>
  </si>
  <si>
    <t xml:space="preserve">kgCO₂e ใช้ค่า EF อ้างอิง TGO ตามชนิดของเสีย (ตัวเลขในไฟล์นี้เป็นค่าจำลอง)</t>
  </si>
  <si>
    <t xml:space="preserve">ชนิดของเสียที่จับคู่ได้ · ภาพเดือน ก.ย. 2569 — ข้อมูลจำลอง</t>
  </si>
  <si>
    <t xml:space="preserve">ค่าใช้จ่าย/รายได้ต่อตัน: ค่าลบ = โรงงานต้องจ่าย, ค่าบวก = โรงงานได้รับเงิน</t>
  </si>
  <si>
    <t xml:space="preserve">ชนิดของเสีย</t>
  </si>
  <si>
    <t xml:space="preserve">รหัสของเสีย</t>
  </si>
  <si>
    <t xml:space="preserve">จำนวน SME ที่รวมของ</t>
  </si>
  <si>
    <t xml:space="preserve">ปริมาณที่จับคู่ (ตัน/เดือน)</t>
  </si>
  <si>
    <t xml:space="preserve">ผู้รับ (ใบอนุญาต)</t>
  </si>
  <si>
    <t xml:space="preserve">ระยะทางเฉลี่ย (กม.)</t>
  </si>
  <si>
    <t xml:space="preserve">เดิม: บาท/ตัน</t>
  </si>
  <si>
    <t xml:space="preserve">หลังจับคู่: บาท/ตัน</t>
  </si>
  <si>
    <t xml:space="preserve">ประหยัดได้ บาท/ตัน</t>
  </si>
  <si>
    <t xml:space="preserve">ประหยัดรวม (บาท/เดือน)</t>
  </si>
  <si>
    <t xml:space="preserve">สัดส่วนปริมาณ</t>
  </si>
  <si>
    <t xml:space="preserve">เศษโลหะ/เศษเหล็กปน</t>
  </si>
  <si>
    <t xml:space="preserve">12 01 01</t>
  </si>
  <si>
    <t xml:space="preserve">105 · คัดแยก</t>
  </si>
  <si>
    <t xml:space="preserve">เศษพลาสติก PP</t>
  </si>
  <si>
    <t xml:space="preserve">07 02 13</t>
  </si>
  <si>
    <t xml:space="preserve">105 · รีไซเคิลพลาสติก</t>
  </si>
  <si>
    <t xml:space="preserve">ขี้เลื่อยไม้</t>
  </si>
  <si>
    <t xml:space="preserve">03 01 05</t>
  </si>
  <si>
    <t xml:space="preserve">105 · เชื้อเพลิงชีวมวล</t>
  </si>
  <si>
    <t xml:space="preserve">เศษผ้า/ใยสังเคราะห์</t>
  </si>
  <si>
    <t xml:space="preserve">04 02 22</t>
  </si>
  <si>
    <t xml:space="preserve">105 · ผลิต RDF</t>
  </si>
  <si>
    <t xml:space="preserve">เศษกระดาษ/กล่อง</t>
  </si>
  <si>
    <t xml:space="preserve">15 01 01</t>
  </si>
  <si>
    <t xml:space="preserve">105 · รีไซเคิลกระดาษ</t>
  </si>
  <si>
    <t xml:space="preserve">รวม</t>
  </si>
  <si>
    <t xml:space="preserve">ตรวจสอบ: ปริมาณรวม ก.ย. ต้องเท่ากับชีต Monthly</t>
  </si>
  <si>
    <t xml:space="preserve">ราคาต่อตันเป็นค่าจำลองเพื่อการออกแบบ — แทนด้วยใบเสนอราคาจริงจากผู้รับ</t>
  </si>
  <si>
    <t xml:space="preserve">รายได้ ExerLink แยกตามช่องทางรายได้ (BMC) รายไตรมาส — ข้อมูลจำลอง</t>
  </si>
  <si>
    <t xml:space="preserve">ช่องทางรายได้</t>
  </si>
  <si>
    <t xml:space="preserve">Q1/2569</t>
  </si>
  <si>
    <t xml:space="preserve">Q2/2569</t>
  </si>
  <si>
    <t xml:space="preserve">Q3/2569</t>
  </si>
  <si>
    <t xml:space="preserve">หมายเหตุ</t>
  </si>
  <si>
    <t xml:space="preserve">Resource mapping ทั้งนิคม</t>
  </si>
  <si>
    <t xml:space="preserve">1 โครงการ (ช่วงราคา 150k–400k)</t>
  </si>
  <si>
    <t xml:space="preserve">สมาชิกรายปี S/M/L</t>
  </si>
  <si>
    <t xml:space="preserve">Q2: S+M · Q3: S+M+L (12k/30k/60k)</t>
  </si>
  <si>
    <t xml:space="preserve">คอมมิชชันดีล 3–5%</t>
  </si>
  <si>
    <t xml:space="preserve">คิดจากมูลค่าซื้อขาย/ประหยัดได้</t>
  </si>
  <si>
    <t xml:space="preserve">ค่าเตรียมเอกสาร กอ.1/กอ.2</t>
  </si>
  <si>
    <t xml:space="preserve">1,500–3,000 บาท/รายการ</t>
  </si>
  <si>
    <t xml:space="preserve">งบสนับสนุนเมืองอุตสาหกรรมเชิงนิเวศ</t>
  </si>
  <si>
    <t xml:space="preserve">ยื่นแล้ว รอผลพิจารณา</t>
  </si>
  <si>
    <t xml:space="preserve">ตรวจสอบกับชีต Monthly</t>
  </si>
  <si>
    <t xml:space="preserve">เหตุการณ์สำคัญที่ใช้เล่าเรื่องใน Dashboard</t>
  </si>
  <si>
    <t xml:space="preserve">เหตุการณ์</t>
  </si>
  <si>
    <t xml:space="preserve">เชื่อมกับช่อง BMC</t>
  </si>
  <si>
    <t xml:space="preserve">ลงนาม MOU กับนิคมฯ · เริ่มนำร่อง 2 โรงงาน</t>
  </si>
  <si>
    <t xml:space="preserve">Key Partners</t>
  </si>
  <si>
    <t xml:space="preserve">รวมเศษกระดาษจาก 5 SME ขายได้เป็นครั้งแรก</t>
  </si>
  <si>
    <t xml:space="preserve">Value Proposition</t>
  </si>
  <si>
    <t xml:space="preserve">ทดลองฟรี 3 เดือนชุดแรกครบ → สมาชิกรายปีรายแรก</t>
  </si>
  <si>
    <t xml:space="preserve">Customer Relationships / Revenue</t>
  </si>
  <si>
    <t xml:space="preserve">ต้นทุนกำจัดที่ลดได้ทะลุเป้า 10%</t>
  </si>
  <si>
    <t xml:space="preserve">นิคมฯ จ้าง Resource mapping ทั้งนิคม ฿300,000</t>
  </si>
  <si>
    <t xml:space="preserve">Revenue Streams</t>
  </si>
  <si>
    <t xml:space="preserve">12 / 20 โรงงานนำร่อง · ลดต้นทุนได้ 14.4%</t>
  </si>
  <si>
    <t xml:space="preserve">Customer Segments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</si>
</sst>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%"/>
    <numFmt numFmtId="168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b val="true"/>
      <sz val="13"/>
      <color rgb="FF0B8A5A"/>
      <name val="Tahoma"/>
      <family val="0"/>
      <charset val="1"/>
    </font>
    <font>
      <i val="true"/>
      <sz val="9"/>
      <color rgb="FF555555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0"/>
      <color rgb="FF000000"/>
      <name val="Tahoma"/>
      <family val="0"/>
      <charset val="1"/>
    </font>
    <font>
      <sz val="10"/>
      <color rgb="FF0000FF"/>
      <name val="Tahoma"/>
      <family val="0"/>
      <charset val="1"/>
    </font>
    <font>
      <sz val="10"/>
      <color rgb="FF008000"/>
      <name val="Tahom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4B75"/>
        <bgColor rgb="FF333399"/>
      </patternFill>
    </fill>
    <fill>
      <patternFill patternType="solid">
        <fgColor rgb="FFE3F2EA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8A5A"/>
      <rgbColor rgb="FFC0C0C0"/>
      <rgbColor rgb="FF808080"/>
      <rgbColor rgb="FF9999FF"/>
      <rgbColor rgb="FF993366"/>
      <rgbColor rgb="FFFFFFCC"/>
      <rgbColor rgb="FFE3F2EA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4B7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2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2.65" hidden="false" customHeight="false" outlineLevel="0" collapsed="false">
      <c r="A4" s="2" t="s">
        <v>2</v>
      </c>
    </row>
    <row r="5" customFormat="false" ht="12.65" hidden="false" customHeight="false" outlineLevel="0" collapsed="false">
      <c r="A5" s="2" t="s">
        <v>3</v>
      </c>
    </row>
    <row r="6" customFormat="false" ht="12.65" hidden="false" customHeight="false" outlineLevel="0" collapsed="false">
      <c r="A6" s="2" t="s">
        <v>4</v>
      </c>
    </row>
    <row r="7" customFormat="false" ht="12.6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2.65" hidden="false" customHeight="false" outlineLevel="0" collapsed="false">
      <c r="A9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5"/>
  </cols>
  <sheetData>
    <row r="1" customFormat="false" ht="16.4" hidden="false" customHeight="false" outlineLevel="0" collapsed="false">
      <c r="A1" s="3" t="s">
        <v>7</v>
      </c>
    </row>
    <row r="2" customFormat="false" ht="15" hidden="false" customHeight="false" outlineLevel="0" collapsed="false">
      <c r="A2" s="4" t="s">
        <v>8</v>
      </c>
    </row>
    <row r="4" customFormat="false" ht="48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18</v>
      </c>
      <c r="K4" s="5" t="s">
        <v>19</v>
      </c>
      <c r="L4" s="5" t="s">
        <v>20</v>
      </c>
      <c r="M4" s="5" t="s">
        <v>21</v>
      </c>
      <c r="N4" s="5" t="s">
        <v>22</v>
      </c>
    </row>
    <row r="5" customFormat="false" ht="15" hidden="false" customHeight="false" outlineLevel="0" collapsed="false">
      <c r="A5" s="6" t="s">
        <v>23</v>
      </c>
      <c r="B5" s="7" t="n">
        <v>2</v>
      </c>
      <c r="C5" s="8" t="n">
        <v>45</v>
      </c>
      <c r="D5" s="8" t="n">
        <v>10</v>
      </c>
      <c r="E5" s="9" t="n">
        <f aca="false">IFERROR((C5-D5)/C5,0)</f>
        <v>0.777777777777778</v>
      </c>
      <c r="F5" s="7" t="n">
        <v>1</v>
      </c>
      <c r="G5" s="6" t="n">
        <f aca="false">F5</f>
        <v>1</v>
      </c>
      <c r="H5" s="8" t="n">
        <v>3500</v>
      </c>
      <c r="I5" s="10" t="n">
        <f aca="false">IFERROR(H5/D5,0)</f>
        <v>350</v>
      </c>
      <c r="J5" s="11" t="n">
        <f aca="false">$B$17</f>
        <v>85000</v>
      </c>
      <c r="K5" s="10" t="n">
        <f aca="false">B5*J5</f>
        <v>170000</v>
      </c>
      <c r="L5" s="8" t="n">
        <v>9000</v>
      </c>
      <c r="M5" s="9" t="n">
        <f aca="false">IFERROR(L5/K5,0)</f>
        <v>0.0529411764705882</v>
      </c>
      <c r="N5" s="8" t="n">
        <v>4500</v>
      </c>
    </row>
    <row r="6" customFormat="false" ht="15" hidden="false" customHeight="false" outlineLevel="0" collapsed="false">
      <c r="A6" s="6" t="s">
        <v>24</v>
      </c>
      <c r="B6" s="7" t="n">
        <v>3</v>
      </c>
      <c r="C6" s="8" t="n">
        <v>60</v>
      </c>
      <c r="D6" s="8" t="n">
        <v>20</v>
      </c>
      <c r="E6" s="9" t="n">
        <f aca="false">IFERROR((C6-D6)/C6,0)</f>
        <v>0.666666666666667</v>
      </c>
      <c r="F6" s="7" t="n">
        <v>2</v>
      </c>
      <c r="G6" s="6" t="n">
        <f aca="false">G5+F6</f>
        <v>3</v>
      </c>
      <c r="H6" s="8" t="n">
        <v>7100</v>
      </c>
      <c r="I6" s="10" t="n">
        <f aca="false">IFERROR(H6/D6,0)</f>
        <v>355</v>
      </c>
      <c r="J6" s="11" t="n">
        <f aca="false">$B$17</f>
        <v>85000</v>
      </c>
      <c r="K6" s="10" t="n">
        <f aca="false">B6*J6</f>
        <v>255000</v>
      </c>
      <c r="L6" s="8" t="n">
        <v>17000</v>
      </c>
      <c r="M6" s="9" t="n">
        <f aca="false">IFERROR(L6/K6,0)</f>
        <v>0.0666666666666667</v>
      </c>
      <c r="N6" s="8" t="n">
        <v>6000</v>
      </c>
    </row>
    <row r="7" customFormat="false" ht="15" hidden="false" customHeight="false" outlineLevel="0" collapsed="false">
      <c r="A7" s="6" t="s">
        <v>25</v>
      </c>
      <c r="B7" s="7" t="n">
        <v>5</v>
      </c>
      <c r="C7" s="8" t="n">
        <v>78</v>
      </c>
      <c r="D7" s="8" t="n">
        <v>33</v>
      </c>
      <c r="E7" s="9" t="n">
        <f aca="false">IFERROR((C7-D7)/C7,0)</f>
        <v>0.576923076923077</v>
      </c>
      <c r="F7" s="7" t="n">
        <v>3</v>
      </c>
      <c r="G7" s="6" t="n">
        <f aca="false">G6+F7</f>
        <v>6</v>
      </c>
      <c r="H7" s="8" t="n">
        <v>11900</v>
      </c>
      <c r="I7" s="10" t="n">
        <f aca="false">IFERROR(H7/D7,0)</f>
        <v>360.606060606061</v>
      </c>
      <c r="J7" s="11" t="n">
        <f aca="false">$B$17</f>
        <v>85000</v>
      </c>
      <c r="K7" s="10" t="n">
        <f aca="false">B7*J7</f>
        <v>425000</v>
      </c>
      <c r="L7" s="8" t="n">
        <v>30000</v>
      </c>
      <c r="M7" s="9" t="n">
        <f aca="false">IFERROR(L7/K7,0)</f>
        <v>0.0705882352941177</v>
      </c>
      <c r="N7" s="8" t="n">
        <v>7500</v>
      </c>
    </row>
    <row r="8" customFormat="false" ht="15" hidden="false" customHeight="false" outlineLevel="0" collapsed="false">
      <c r="A8" s="6" t="s">
        <v>26</v>
      </c>
      <c r="B8" s="7" t="n">
        <v>6</v>
      </c>
      <c r="C8" s="8" t="n">
        <v>84</v>
      </c>
      <c r="D8" s="8" t="n">
        <v>40</v>
      </c>
      <c r="E8" s="9" t="n">
        <f aca="false">IFERROR((C8-D8)/C8,0)</f>
        <v>0.523809523809524</v>
      </c>
      <c r="F8" s="7" t="n">
        <v>4</v>
      </c>
      <c r="G8" s="6" t="n">
        <f aca="false">G7+F8</f>
        <v>10</v>
      </c>
      <c r="H8" s="8" t="n">
        <v>14800</v>
      </c>
      <c r="I8" s="10" t="n">
        <f aca="false">IFERROR(H8/D8,0)</f>
        <v>370</v>
      </c>
      <c r="J8" s="11" t="n">
        <f aca="false">$B$17</f>
        <v>85000</v>
      </c>
      <c r="K8" s="10" t="n">
        <f aca="false">B8*J8</f>
        <v>510000</v>
      </c>
      <c r="L8" s="8" t="n">
        <v>41000</v>
      </c>
      <c r="M8" s="9" t="n">
        <f aca="false">IFERROR(L8/K8,0)</f>
        <v>0.0803921568627451</v>
      </c>
      <c r="N8" s="8" t="n">
        <v>22000</v>
      </c>
    </row>
    <row r="9" customFormat="false" ht="15" hidden="false" customHeight="false" outlineLevel="0" collapsed="false">
      <c r="A9" s="6" t="s">
        <v>27</v>
      </c>
      <c r="B9" s="7" t="n">
        <v>8</v>
      </c>
      <c r="C9" s="8" t="n">
        <v>98</v>
      </c>
      <c r="D9" s="8" t="n">
        <v>50</v>
      </c>
      <c r="E9" s="9" t="n">
        <f aca="false">IFERROR((C9-D9)/C9,0)</f>
        <v>0.489795918367347</v>
      </c>
      <c r="F9" s="7" t="n">
        <v>4</v>
      </c>
      <c r="G9" s="6" t="n">
        <f aca="false">G8+F9</f>
        <v>14</v>
      </c>
      <c r="H9" s="8" t="n">
        <v>18700</v>
      </c>
      <c r="I9" s="10" t="n">
        <f aca="false">IFERROR(H9/D9,0)</f>
        <v>374</v>
      </c>
      <c r="J9" s="11" t="n">
        <f aca="false">$B$17</f>
        <v>85000</v>
      </c>
      <c r="K9" s="10" t="n">
        <f aca="false">B9*J9</f>
        <v>680000</v>
      </c>
      <c r="L9" s="8" t="n">
        <v>58000</v>
      </c>
      <c r="M9" s="9" t="n">
        <f aca="false">IFERROR(L9/K9,0)</f>
        <v>0.0852941176470588</v>
      </c>
      <c r="N9" s="8" t="n">
        <v>31500</v>
      </c>
    </row>
    <row r="10" customFormat="false" ht="15" hidden="false" customHeight="false" outlineLevel="0" collapsed="false">
      <c r="A10" s="6" t="s">
        <v>28</v>
      </c>
      <c r="B10" s="7" t="n">
        <v>9</v>
      </c>
      <c r="C10" s="8" t="n">
        <v>118</v>
      </c>
      <c r="D10" s="8" t="n">
        <v>65</v>
      </c>
      <c r="E10" s="9" t="n">
        <f aca="false">IFERROR((C10-D10)/C10,0)</f>
        <v>0.449152542372881</v>
      </c>
      <c r="F10" s="7" t="n">
        <v>5</v>
      </c>
      <c r="G10" s="6" t="n">
        <f aca="false">G9+F10</f>
        <v>19</v>
      </c>
      <c r="H10" s="8" t="n">
        <v>24900</v>
      </c>
      <c r="I10" s="10" t="n">
        <f aca="false">IFERROR(H10/D10,0)</f>
        <v>383.076923076923</v>
      </c>
      <c r="J10" s="11" t="n">
        <f aca="false">$B$17</f>
        <v>85000</v>
      </c>
      <c r="K10" s="10" t="n">
        <f aca="false">B10*J10</f>
        <v>765000</v>
      </c>
      <c r="L10" s="8" t="n">
        <v>79000</v>
      </c>
      <c r="M10" s="9" t="n">
        <f aca="false">IFERROR(L10/K10,0)</f>
        <v>0.103267973856209</v>
      </c>
      <c r="N10" s="8" t="n">
        <v>43000</v>
      </c>
    </row>
    <row r="11" customFormat="false" ht="15" hidden="false" customHeight="false" outlineLevel="0" collapsed="false">
      <c r="A11" s="6" t="s">
        <v>29</v>
      </c>
      <c r="B11" s="7" t="n">
        <v>10</v>
      </c>
      <c r="C11" s="8" t="n">
        <v>112</v>
      </c>
      <c r="D11" s="8" t="n">
        <v>62</v>
      </c>
      <c r="E11" s="9" t="n">
        <f aca="false">IFERROR((C11-D11)/C11,0)</f>
        <v>0.446428571428571</v>
      </c>
      <c r="F11" s="7" t="n">
        <v>5</v>
      </c>
      <c r="G11" s="6" t="n">
        <f aca="false">G10+F11</f>
        <v>24</v>
      </c>
      <c r="H11" s="8" t="n">
        <v>22100</v>
      </c>
      <c r="I11" s="10" t="n">
        <f aca="false">IFERROR(H11/D11,0)</f>
        <v>356.451612903226</v>
      </c>
      <c r="J11" s="11" t="n">
        <f aca="false">$B$17</f>
        <v>85000</v>
      </c>
      <c r="K11" s="10" t="n">
        <f aca="false">B11*J11</f>
        <v>850000</v>
      </c>
      <c r="L11" s="8" t="n">
        <v>92000</v>
      </c>
      <c r="M11" s="9" t="n">
        <f aca="false">IFERROR(L11/K11,0)</f>
        <v>0.108235294117647</v>
      </c>
      <c r="N11" s="8" t="n">
        <v>78400</v>
      </c>
    </row>
    <row r="12" customFormat="false" ht="15" hidden="false" customHeight="false" outlineLevel="0" collapsed="false">
      <c r="A12" s="6" t="s">
        <v>30</v>
      </c>
      <c r="B12" s="7" t="n">
        <v>11</v>
      </c>
      <c r="C12" s="8" t="n">
        <v>120</v>
      </c>
      <c r="D12" s="8" t="n">
        <v>70</v>
      </c>
      <c r="E12" s="9" t="n">
        <f aca="false">IFERROR((C12-D12)/C12,0)</f>
        <v>0.416666666666667</v>
      </c>
      <c r="F12" s="7" t="n">
        <v>6</v>
      </c>
      <c r="G12" s="6" t="n">
        <f aca="false">G11+F12</f>
        <v>30</v>
      </c>
      <c r="H12" s="8" t="n">
        <v>28600</v>
      </c>
      <c r="I12" s="10" t="n">
        <f aca="false">IFERROR(H12/D12,0)</f>
        <v>408.571428571429</v>
      </c>
      <c r="J12" s="11" t="n">
        <f aca="false">$B$17</f>
        <v>85000</v>
      </c>
      <c r="K12" s="10" t="n">
        <f aca="false">B12*J12</f>
        <v>935000</v>
      </c>
      <c r="L12" s="8" t="n">
        <v>112000</v>
      </c>
      <c r="M12" s="9" t="n">
        <f aca="false">IFERROR(L12/K12,0)</f>
        <v>0.119786096256684</v>
      </c>
      <c r="N12" s="8" t="n">
        <v>352000</v>
      </c>
    </row>
    <row r="13" customFormat="false" ht="15" hidden="false" customHeight="false" outlineLevel="0" collapsed="false">
      <c r="A13" s="6" t="s">
        <v>31</v>
      </c>
      <c r="B13" s="7" t="n">
        <v>12</v>
      </c>
      <c r="C13" s="8" t="n">
        <v>130</v>
      </c>
      <c r="D13" s="8" t="n">
        <v>82</v>
      </c>
      <c r="E13" s="9" t="n">
        <f aca="false">IFERROR((C13-D13)/C13,0)</f>
        <v>0.369230769230769</v>
      </c>
      <c r="F13" s="7" t="n">
        <v>7</v>
      </c>
      <c r="G13" s="6" t="n">
        <f aca="false">G12+F13</f>
        <v>37</v>
      </c>
      <c r="H13" s="8" t="n">
        <v>35700</v>
      </c>
      <c r="I13" s="10" t="n">
        <f aca="false">IFERROR(H13/D13,0)</f>
        <v>435.365853658537</v>
      </c>
      <c r="J13" s="11" t="n">
        <f aca="false">$B$17</f>
        <v>85000</v>
      </c>
      <c r="K13" s="10" t="n">
        <f aca="false">B13*J13</f>
        <v>1020000</v>
      </c>
      <c r="L13" s="8" t="n">
        <v>146700</v>
      </c>
      <c r="M13" s="9" t="n">
        <f aca="false">IFERROR(L13/K13,0)</f>
        <v>0.143823529411765</v>
      </c>
      <c r="N13" s="8" t="n">
        <v>56000</v>
      </c>
    </row>
    <row r="14" customFormat="false" ht="15" hidden="false" customHeight="false" outlineLevel="0" collapsed="false">
      <c r="A14" s="12" t="s">
        <v>32</v>
      </c>
      <c r="B14" s="12" t="n">
        <f aca="false">B13</f>
        <v>12</v>
      </c>
      <c r="C14" s="13" t="n">
        <f aca="false">SUM(C5:C13)</f>
        <v>845</v>
      </c>
      <c r="D14" s="13" t="n">
        <f aca="false">SUM(D5:D13)</f>
        <v>432</v>
      </c>
      <c r="E14" s="14" t="n">
        <f aca="false">IFERROR((C14-D14)/C14,0)</f>
        <v>0.488757396449704</v>
      </c>
      <c r="F14" s="12" t="n">
        <f aca="false">SUM(F5:F13)</f>
        <v>37</v>
      </c>
      <c r="G14" s="12" t="n">
        <f aca="false">G13</f>
        <v>37</v>
      </c>
      <c r="H14" s="13" t="n">
        <f aca="false">SUM(H5:H13)</f>
        <v>167300</v>
      </c>
      <c r="I14" s="13" t="n">
        <f aca="false">IFERROR(H14/D14,0)</f>
        <v>387.268518518519</v>
      </c>
      <c r="J14" s="13"/>
      <c r="K14" s="13" t="n">
        <f aca="false">SUM(K5:K13)</f>
        <v>5610000</v>
      </c>
      <c r="L14" s="13" t="n">
        <f aca="false">SUM(L5:L13)</f>
        <v>584700</v>
      </c>
      <c r="M14" s="14" t="n">
        <f aca="false">IFERROR(L14/K14,0)</f>
        <v>0.104224598930481</v>
      </c>
      <c r="N14" s="13" t="n">
        <f aca="false">SUM(N5:N13)</f>
        <v>600900</v>
      </c>
    </row>
    <row r="16" customFormat="false" ht="15" hidden="false" customHeight="false" outlineLevel="0" collapsed="false">
      <c r="A16" s="1" t="s">
        <v>33</v>
      </c>
    </row>
    <row r="17" customFormat="false" ht="15" hidden="false" customHeight="false" outlineLevel="0" collapsed="false">
      <c r="A17" s="15" t="s">
        <v>34</v>
      </c>
      <c r="B17" s="16" t="n">
        <v>85000</v>
      </c>
      <c r="C17" s="4" t="s">
        <v>35</v>
      </c>
    </row>
    <row r="18" customFormat="false" ht="15" hidden="false" customHeight="false" outlineLevel="0" collapsed="false">
      <c r="A18" s="15" t="s">
        <v>36</v>
      </c>
      <c r="B18" s="17" t="n">
        <v>0.1</v>
      </c>
      <c r="C18" s="17" t="n">
        <v>0.2</v>
      </c>
      <c r="D18" s="4" t="s">
        <v>37</v>
      </c>
    </row>
    <row r="19" customFormat="false" ht="15" hidden="false" customHeight="false" outlineLevel="0" collapsed="false">
      <c r="A19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1"/>
  </cols>
  <sheetData>
    <row r="1" customFormat="false" ht="16.4" hidden="false" customHeight="false" outlineLevel="0" collapsed="false">
      <c r="A1" s="3" t="s">
        <v>39</v>
      </c>
    </row>
    <row r="2" customFormat="false" ht="15" hidden="false" customHeight="false" outlineLevel="0" collapsed="false">
      <c r="A2" s="4" t="s">
        <v>40</v>
      </c>
    </row>
    <row r="4" customFormat="false" ht="39.75" hidden="false" customHeight="true" outlineLevel="0" collapsed="false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</row>
    <row r="5" customFormat="false" ht="15" hidden="false" customHeight="false" outlineLevel="0" collapsed="false">
      <c r="A5" s="6" t="s">
        <v>52</v>
      </c>
      <c r="B5" s="6" t="s">
        <v>53</v>
      </c>
      <c r="C5" s="7" t="n">
        <v>3</v>
      </c>
      <c r="D5" s="7" t="n">
        <v>30</v>
      </c>
      <c r="E5" s="6" t="s">
        <v>54</v>
      </c>
      <c r="F5" s="7" t="n">
        <v>12</v>
      </c>
      <c r="G5" s="18" t="n">
        <v>-1000</v>
      </c>
      <c r="H5" s="18" t="n">
        <v>800</v>
      </c>
      <c r="I5" s="19" t="n">
        <f aca="false">H5-G5</f>
        <v>1800</v>
      </c>
      <c r="J5" s="19" t="n">
        <f aca="false">I5*D5</f>
        <v>54000</v>
      </c>
      <c r="K5" s="9" t="n">
        <f aca="false">IFERROR(D5/$D$10,0)</f>
        <v>0.365853658536585</v>
      </c>
    </row>
    <row r="6" customFormat="false" ht="15" hidden="false" customHeight="false" outlineLevel="0" collapsed="false">
      <c r="A6" s="6" t="s">
        <v>55</v>
      </c>
      <c r="B6" s="6" t="s">
        <v>56</v>
      </c>
      <c r="C6" s="7" t="n">
        <v>2</v>
      </c>
      <c r="D6" s="7" t="n">
        <v>24</v>
      </c>
      <c r="E6" s="6" t="s">
        <v>57</v>
      </c>
      <c r="F6" s="7" t="n">
        <v>14</v>
      </c>
      <c r="G6" s="18" t="n">
        <v>-2000</v>
      </c>
      <c r="H6" s="18" t="n">
        <v>500</v>
      </c>
      <c r="I6" s="19" t="n">
        <f aca="false">H6-G6</f>
        <v>2500</v>
      </c>
      <c r="J6" s="19" t="n">
        <f aca="false">I6*D6</f>
        <v>60000</v>
      </c>
      <c r="K6" s="9" t="n">
        <f aca="false">IFERROR(D6/$D$10,0)</f>
        <v>0.292682926829268</v>
      </c>
    </row>
    <row r="7" customFormat="false" ht="15" hidden="false" customHeight="false" outlineLevel="0" collapsed="false">
      <c r="A7" s="6" t="s">
        <v>58</v>
      </c>
      <c r="B7" s="6" t="s">
        <v>59</v>
      </c>
      <c r="C7" s="7" t="n">
        <v>4</v>
      </c>
      <c r="D7" s="7" t="n">
        <v>13</v>
      </c>
      <c r="E7" s="6" t="s">
        <v>60</v>
      </c>
      <c r="F7" s="7" t="n">
        <v>18</v>
      </c>
      <c r="G7" s="18" t="n">
        <v>-1200</v>
      </c>
      <c r="H7" s="18" t="n">
        <v>-300</v>
      </c>
      <c r="I7" s="19" t="n">
        <f aca="false">H7-G7</f>
        <v>900</v>
      </c>
      <c r="J7" s="19" t="n">
        <f aca="false">I7*D7</f>
        <v>11700</v>
      </c>
      <c r="K7" s="9" t="n">
        <f aca="false">IFERROR(D7/$D$10,0)</f>
        <v>0.158536585365854</v>
      </c>
    </row>
    <row r="8" customFormat="false" ht="15" hidden="false" customHeight="false" outlineLevel="0" collapsed="false">
      <c r="A8" s="6" t="s">
        <v>61</v>
      </c>
      <c r="B8" s="6" t="s">
        <v>62</v>
      </c>
      <c r="C8" s="7" t="n">
        <v>2</v>
      </c>
      <c r="D8" s="7" t="n">
        <v>10</v>
      </c>
      <c r="E8" s="6" t="s">
        <v>63</v>
      </c>
      <c r="F8" s="7" t="n">
        <v>21</v>
      </c>
      <c r="G8" s="18" t="n">
        <v>-2500</v>
      </c>
      <c r="H8" s="18" t="n">
        <v>-1300</v>
      </c>
      <c r="I8" s="19" t="n">
        <f aca="false">H8-G8</f>
        <v>1200</v>
      </c>
      <c r="J8" s="19" t="n">
        <f aca="false">I8*D8</f>
        <v>12000</v>
      </c>
      <c r="K8" s="9" t="n">
        <f aca="false">IFERROR(D8/$D$10,0)</f>
        <v>0.121951219512195</v>
      </c>
    </row>
    <row r="9" customFormat="false" ht="15" hidden="false" customHeight="false" outlineLevel="0" collapsed="false">
      <c r="A9" s="6" t="s">
        <v>64</v>
      </c>
      <c r="B9" s="6" t="s">
        <v>65</v>
      </c>
      <c r="C9" s="7" t="n">
        <v>5</v>
      </c>
      <c r="D9" s="7" t="n">
        <v>5</v>
      </c>
      <c r="E9" s="6" t="s">
        <v>66</v>
      </c>
      <c r="F9" s="7" t="n">
        <v>9</v>
      </c>
      <c r="G9" s="18" t="n">
        <v>-1500</v>
      </c>
      <c r="H9" s="18" t="n">
        <v>300</v>
      </c>
      <c r="I9" s="19" t="n">
        <f aca="false">H9-G9</f>
        <v>1800</v>
      </c>
      <c r="J9" s="19" t="n">
        <f aca="false">I9*D9</f>
        <v>9000</v>
      </c>
      <c r="K9" s="9" t="n">
        <f aca="false">IFERROR(D9/$D$10,0)</f>
        <v>0.0609756097560976</v>
      </c>
    </row>
    <row r="10" customFormat="false" ht="15" hidden="false" customHeight="false" outlineLevel="0" collapsed="false">
      <c r="A10" s="12" t="s">
        <v>67</v>
      </c>
      <c r="B10" s="12"/>
      <c r="C10" s="12" t="n">
        <f aca="false">SUM(C5:C9)</f>
        <v>16</v>
      </c>
      <c r="D10" s="12" t="n">
        <f aca="false">SUM(D5:D9)</f>
        <v>82</v>
      </c>
      <c r="E10" s="12"/>
      <c r="F10" s="12"/>
      <c r="G10" s="12"/>
      <c r="H10" s="12"/>
      <c r="I10" s="12"/>
      <c r="J10" s="13" t="n">
        <f aca="false">SUM(J5:J9)</f>
        <v>146700</v>
      </c>
      <c r="K10" s="14" t="n">
        <f aca="false">SUM(K5:K9)</f>
        <v>1</v>
      </c>
    </row>
    <row r="12" customFormat="false" ht="15" hidden="false" customHeight="false" outlineLevel="0" collapsed="false">
      <c r="A12" s="4" t="s">
        <v>68</v>
      </c>
      <c r="D12" s="15" t="str">
        <f aca="false">IF(D10=Monthly!D13,"ตรงกัน","ไม่ตรง")</f>
        <v>ตรงกัน</v>
      </c>
    </row>
    <row r="13" customFormat="false" ht="15" hidden="false" customHeight="false" outlineLevel="0" collapsed="false">
      <c r="A13" s="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38"/>
  </cols>
  <sheetData>
    <row r="1" customFormat="false" ht="16.4" hidden="false" customHeight="false" outlineLevel="0" collapsed="false">
      <c r="A1" s="3" t="s">
        <v>70</v>
      </c>
    </row>
    <row r="3" customFormat="false" ht="15" hidden="false" customHeight="false" outlineLevel="0" collapsed="false">
      <c r="A3" s="20" t="s">
        <v>71</v>
      </c>
      <c r="B3" s="20" t="s">
        <v>72</v>
      </c>
      <c r="C3" s="20" t="s">
        <v>73</v>
      </c>
      <c r="D3" s="20" t="s">
        <v>74</v>
      </c>
      <c r="E3" s="20" t="s">
        <v>75</v>
      </c>
    </row>
    <row r="4" customFormat="false" ht="15" hidden="false" customHeight="false" outlineLevel="0" collapsed="false">
      <c r="A4" s="6" t="s">
        <v>76</v>
      </c>
      <c r="B4" s="18" t="n">
        <v>0</v>
      </c>
      <c r="C4" s="18" t="n">
        <v>0</v>
      </c>
      <c r="D4" s="18" t="n">
        <v>300000</v>
      </c>
      <c r="E4" s="6" t="s">
        <v>77</v>
      </c>
    </row>
    <row r="5" customFormat="false" ht="15" hidden="false" customHeight="false" outlineLevel="0" collapsed="false">
      <c r="A5" s="6" t="s">
        <v>78</v>
      </c>
      <c r="B5" s="18" t="n">
        <v>0</v>
      </c>
      <c r="C5" s="18" t="n">
        <v>42000</v>
      </c>
      <c r="D5" s="18" t="n">
        <v>102000</v>
      </c>
      <c r="E5" s="6" t="s">
        <v>79</v>
      </c>
    </row>
    <row r="6" customFormat="false" ht="15" hidden="false" customHeight="false" outlineLevel="0" collapsed="false">
      <c r="A6" s="6" t="s">
        <v>80</v>
      </c>
      <c r="B6" s="18" t="n">
        <v>6000</v>
      </c>
      <c r="C6" s="18" t="n">
        <v>33000</v>
      </c>
      <c r="D6" s="18" t="n">
        <v>58000</v>
      </c>
      <c r="E6" s="6" t="s">
        <v>81</v>
      </c>
    </row>
    <row r="7" customFormat="false" ht="15" hidden="false" customHeight="false" outlineLevel="0" collapsed="false">
      <c r="A7" s="6" t="s">
        <v>82</v>
      </c>
      <c r="B7" s="18" t="n">
        <v>12000</v>
      </c>
      <c r="C7" s="18" t="n">
        <v>21500</v>
      </c>
      <c r="D7" s="18" t="n">
        <v>26400</v>
      </c>
      <c r="E7" s="6" t="s">
        <v>83</v>
      </c>
    </row>
    <row r="8" customFormat="false" ht="15" hidden="false" customHeight="false" outlineLevel="0" collapsed="false">
      <c r="A8" s="6" t="s">
        <v>84</v>
      </c>
      <c r="B8" s="18" t="n">
        <v>0</v>
      </c>
      <c r="C8" s="18" t="n">
        <v>0</v>
      </c>
      <c r="D8" s="18" t="n">
        <v>0</v>
      </c>
      <c r="E8" s="6" t="s">
        <v>85</v>
      </c>
    </row>
    <row r="9" customFormat="false" ht="15" hidden="false" customHeight="false" outlineLevel="0" collapsed="false">
      <c r="A9" s="12" t="s">
        <v>67</v>
      </c>
      <c r="B9" s="13" t="n">
        <f aca="false">SUM(B4:B8)</f>
        <v>18000</v>
      </c>
      <c r="C9" s="13" t="n">
        <f aca="false">SUM(C4:C8)</f>
        <v>96500</v>
      </c>
      <c r="D9" s="13" t="n">
        <f aca="false">SUM(D4:D8)</f>
        <v>486400</v>
      </c>
      <c r="E9" s="12"/>
    </row>
    <row r="10" customFormat="false" ht="15" hidden="false" customHeight="false" outlineLevel="0" collapsed="false">
      <c r="A10" s="4" t="s">
        <v>86</v>
      </c>
      <c r="B10" s="0" t="str">
        <f aca="false">IF(B9=SUM(Monthly!N5:N7),"ตรงกัน","ไม่ตรง")</f>
        <v>ตรงกัน</v>
      </c>
      <c r="C10" s="0" t="str">
        <f aca="false">IF(C9=SUM(Monthly!N8:N10),"ตรงกัน","ไม่ตรง")</f>
        <v>ตรงกัน</v>
      </c>
      <c r="D10" s="0" t="str">
        <f aca="false">IF(D9=SUM(Monthly!N11:N13),"ตรงกัน","ไม่ตรง")</f>
        <v>ตรงกัน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30"/>
  </cols>
  <sheetData>
    <row r="1" customFormat="false" ht="16.4" hidden="false" customHeight="false" outlineLevel="0" collapsed="false">
      <c r="A1" s="3" t="s">
        <v>87</v>
      </c>
    </row>
    <row r="3" customFormat="false" ht="15" hidden="false" customHeight="false" outlineLevel="0" collapsed="false">
      <c r="A3" s="21" t="s">
        <v>9</v>
      </c>
      <c r="B3" s="21" t="s">
        <v>88</v>
      </c>
      <c r="C3" s="21" t="s">
        <v>89</v>
      </c>
    </row>
    <row r="4" customFormat="false" ht="15" hidden="false" customHeight="false" outlineLevel="0" collapsed="false">
      <c r="A4" s="6" t="s">
        <v>23</v>
      </c>
      <c r="B4" s="6" t="s">
        <v>90</v>
      </c>
      <c r="C4" s="6" t="s">
        <v>91</v>
      </c>
    </row>
    <row r="5" customFormat="false" ht="15" hidden="false" customHeight="false" outlineLevel="0" collapsed="false">
      <c r="A5" s="6" t="s">
        <v>25</v>
      </c>
      <c r="B5" s="6" t="s">
        <v>92</v>
      </c>
      <c r="C5" s="6" t="s">
        <v>93</v>
      </c>
    </row>
    <row r="6" customFormat="false" ht="15" hidden="false" customHeight="false" outlineLevel="0" collapsed="false">
      <c r="A6" s="6" t="s">
        <v>26</v>
      </c>
      <c r="B6" s="6" t="s">
        <v>94</v>
      </c>
      <c r="C6" s="6" t="s">
        <v>95</v>
      </c>
    </row>
    <row r="7" customFormat="false" ht="15" hidden="false" customHeight="false" outlineLevel="0" collapsed="false">
      <c r="A7" s="6" t="s">
        <v>28</v>
      </c>
      <c r="B7" s="6" t="s">
        <v>96</v>
      </c>
      <c r="C7" s="6" t="s">
        <v>93</v>
      </c>
    </row>
    <row r="8" customFormat="false" ht="15" hidden="false" customHeight="false" outlineLevel="0" collapsed="false">
      <c r="A8" s="6" t="s">
        <v>30</v>
      </c>
      <c r="B8" s="6" t="s">
        <v>97</v>
      </c>
      <c r="C8" s="6" t="s">
        <v>98</v>
      </c>
    </row>
    <row r="9" customFormat="false" ht="15" hidden="false" customHeight="false" outlineLevel="0" collapsed="false">
      <c r="A9" s="6" t="s">
        <v>31</v>
      </c>
      <c r="B9" s="6" t="s">
        <v>99</v>
      </c>
      <c r="C9" s="6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2026-10-04T13:33:58Z</dcterms:created>
  <dc:creator>openpyxl</dc:creator>
  <dc:description/>
  <dc:language>en-US</dc:language>
  <cp:lastModifiedBy/>
  <dcterms:modified xsi:type="dcterms:W3CDTF">2026-10-04T13:33:58Z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